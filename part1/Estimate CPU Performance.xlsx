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st/Dropbox/Loughborough/teaching/modules/2020-21/WSD530:WSP030/courseworks/cw1/quiz/"/>
    </mc:Choice>
  </mc:AlternateContent>
  <xr:revisionPtr revIDLastSave="0" documentId="13_ncr:1_{825B788E-2425-5641-B263-E4F57C4DFA4E}" xr6:coauthVersionLast="45" xr6:coauthVersionMax="45" xr10:uidLastSave="{00000000-0000-0000-0000-000000000000}"/>
  <bookViews>
    <workbookView xWindow="0" yWindow="460" windowWidth="28800" windowHeight="16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  <c r="C13" i="1"/>
  <c r="C14" i="1"/>
  <c r="C15" i="1"/>
  <c r="C16" i="1"/>
  <c r="C17" i="1"/>
  <c r="C18" i="1"/>
  <c r="C19" i="1"/>
  <c r="C20" i="1"/>
  <c r="D36" i="1"/>
  <c r="E36" i="1" s="1"/>
  <c r="E35" i="1"/>
  <c r="D35" i="1"/>
  <c r="D34" i="1"/>
  <c r="E34" i="1" s="1"/>
  <c r="D20" i="1"/>
  <c r="D19" i="1"/>
  <c r="D18" i="1"/>
  <c r="D17" i="1"/>
  <c r="D16" i="1"/>
  <c r="D15" i="1"/>
  <c r="D14" i="1"/>
  <c r="D13" i="1"/>
  <c r="D12" i="1"/>
  <c r="D11" i="1"/>
  <c r="C11" i="1"/>
  <c r="F34" i="1" l="1"/>
  <c r="G35" i="1" s="1"/>
  <c r="F35" i="1"/>
  <c r="G36" i="1" s="1"/>
  <c r="F36" i="1"/>
</calcChain>
</file>

<file path=xl/sharedStrings.xml><?xml version="1.0" encoding="utf-8"?>
<sst xmlns="http://schemas.openxmlformats.org/spreadsheetml/2006/main" count="23" uniqueCount="23">
  <si>
    <t># of CPU Cores</t>
  </si>
  <si>
    <t>Benchmark Time</t>
  </si>
  <si>
    <t>Calculated Speedup</t>
  </si>
  <si>
    <t>Amdahl's Law Speedup</t>
  </si>
  <si>
    <t>Parallel Efficiency:</t>
  </si>
  <si>
    <t>Change between 0 and 1</t>
  </si>
  <si>
    <t>until both lines are close</t>
  </si>
  <si>
    <t>CPU Model</t>
  </si>
  <si>
    <t>Cores</t>
  </si>
  <si>
    <t>Frequency*</t>
  </si>
  <si>
    <t>Effective Cores</t>
  </si>
  <si>
    <t>Relative GFLOPs</t>
  </si>
  <si>
    <t>Estimated Benchmark Time</t>
  </si>
  <si>
    <t>Improvement (%)</t>
  </si>
  <si>
    <t>Tested CPU</t>
  </si>
  <si>
    <t>-</t>
  </si>
  <si>
    <t>Compare CPU1</t>
  </si>
  <si>
    <t>Compare CPU2</t>
  </si>
  <si>
    <t>1) In the orange cells, enter you benchmark times for each core count</t>
  </si>
  <si>
    <t>2) Adjust the parallel efficiency (yellow cell) until the lines on the graph are close</t>
  </si>
  <si>
    <t>3) In the blue cells, enter the CPU name, total number of physical cores, and the CPU frequency of the CPUs you are interested in</t>
  </si>
  <si>
    <t>5) The green cells show the estimated benchmark time for each CPU</t>
  </si>
  <si>
    <t xml:space="preserve">4) Limit CPU comparisons to ones that are within the same family.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</si>
</sst>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</font>
    <font>
      <b/>
      <sz val="10"/>
      <color rgb="FFFF0000"/>
      <name val="Arial"/>
    </font>
    <font>
      <b/>
      <sz val="11"/>
      <name val="Arial"/>
    </font>
    <font>
      <i/>
      <sz val="11"/>
      <name val="Arial"/>
    </font>
    <font>
      <b/>
      <sz val="12"/>
      <color rgb="FFFF0000"/>
      <name val="Arial"/>
    </font>
    <font>
      <sz val="10"/>
      <name val="Arial"/>
    </font>
    <font>
      <sz val="11"/>
      <name val="Arial"/>
    </font>
    <font>
      <sz val="10"/>
      <name val="Arial"/>
    </font>
    <font>
      <u/>
      <sz val="10"/>
      <color theme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B0F0"/>
        <bgColor rgb="FF00FF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5" fillId="0" borderId="0" xfId="0" applyFont="1" applyAlignment="1"/>
    <xf numFmtId="0" fontId="6" fillId="2" borderId="0" xfId="0" applyFont="1" applyFill="1" applyAlignment="1"/>
    <xf numFmtId="0" fontId="6" fillId="0" borderId="0" xfId="0" applyFont="1" applyAlignment="1"/>
    <xf numFmtId="0" fontId="2" fillId="3" borderId="0" xfId="0" applyFont="1" applyFill="1" applyAlignment="1"/>
    <xf numFmtId="0" fontId="6" fillId="0" borderId="0" xfId="0" applyFont="1" applyAlignment="1"/>
    <xf numFmtId="0" fontId="6" fillId="4" borderId="0" xfId="0" applyFont="1" applyFill="1" applyAlignment="1"/>
    <xf numFmtId="0" fontId="7" fillId="0" borderId="0" xfId="0" applyFont="1" applyAlignment="1"/>
    <xf numFmtId="0" fontId="8" fillId="0" borderId="0" xfId="1"/>
    <xf numFmtId="0" fontId="6" fillId="5" borderId="0" xfId="0" applyFont="1" applyFill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sz="1600" b="1">
                <a:solidFill>
                  <a:srgbClr val="000000"/>
                </a:solidFill>
                <a:latin typeface="Roboto"/>
              </a:defRPr>
            </a:pPr>
            <a:r>
              <a:rPr lang="en-GB" sz="1600" b="1">
                <a:solidFill>
                  <a:srgbClr val="000000"/>
                </a:solidFill>
                <a:latin typeface="Roboto"/>
              </a:rPr>
              <a:t>Parallelization Efficiency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Sheet1!$C$10</c:f>
              <c:strCache>
                <c:ptCount val="1"/>
                <c:pt idx="0">
                  <c:v>Calculated Speedup</c:v>
                </c:pt>
              </c:strCache>
            </c:strRef>
          </c:tx>
          <c:marker>
            <c:symbol val="none"/>
          </c:marker>
          <c:val>
            <c:numRef>
              <c:f>Sheet1!$C$11:$C$30</c:f>
              <c:numCache>
                <c:formatCode>General</c:formatCode>
                <c:ptCount val="20"/>
                <c:pt idx="0">
                  <c:v>1</c:v>
                </c:pt>
                <c:pt idx="1">
                  <c:v>1.9658848614072493</c:v>
                </c:pt>
                <c:pt idx="2">
                  <c:v>2.8060869565217392</c:v>
                </c:pt>
                <c:pt idx="3">
                  <c:v>3.7523255813953487</c:v>
                </c:pt>
                <c:pt idx="4">
                  <c:v>4.6001425516749812</c:v>
                </c:pt>
                <c:pt idx="5">
                  <c:v>5.4927659574468084</c:v>
                </c:pt>
                <c:pt idx="6">
                  <c:v>5.9759259259259254</c:v>
                </c:pt>
                <c:pt idx="7">
                  <c:v>6.5991820040899798</c:v>
                </c:pt>
                <c:pt idx="8">
                  <c:v>7.1314917127071817</c:v>
                </c:pt>
                <c:pt idx="9">
                  <c:v>7.5662368112543961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E1-784C-96CE-04B0035ECDC1}"/>
            </c:ext>
          </c:extLst>
        </c:ser>
        <c:ser>
          <c:idx val="1"/>
          <c:order val="1"/>
          <c:tx>
            <c:strRef>
              <c:f>Sheet1!$D$10</c:f>
              <c:strCache>
                <c:ptCount val="1"/>
                <c:pt idx="0">
                  <c:v>Amdahl's Law Speedup</c:v>
                </c:pt>
              </c:strCache>
            </c:strRef>
          </c:tx>
          <c:marker>
            <c:symbol val="none"/>
          </c:marker>
          <c:val>
            <c:numRef>
              <c:f>Sheet1!$D$11:$D$30</c:f>
              <c:numCache>
                <c:formatCode>General</c:formatCode>
                <c:ptCount val="20"/>
                <c:pt idx="0">
                  <c:v>1</c:v>
                </c:pt>
                <c:pt idx="1">
                  <c:v>1.941747572815534</c:v>
                </c:pt>
                <c:pt idx="2">
                  <c:v>2.8301886792452828</c:v>
                </c:pt>
                <c:pt idx="3">
                  <c:v>3.6697247706422016</c:v>
                </c:pt>
                <c:pt idx="4">
                  <c:v>4.4642857142857135</c:v>
                </c:pt>
                <c:pt idx="5">
                  <c:v>5.2173913043478262</c:v>
                </c:pt>
                <c:pt idx="6">
                  <c:v>5.9322033898305078</c:v>
                </c:pt>
                <c:pt idx="7">
                  <c:v>6.6115702479338836</c:v>
                </c:pt>
                <c:pt idx="8">
                  <c:v>7.2580645161290311</c:v>
                </c:pt>
                <c:pt idx="9">
                  <c:v>7.8740157480314945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E1-784C-96CE-04B0035EC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4020790"/>
        <c:axId val="139199145"/>
      </c:lineChart>
      <c:catAx>
        <c:axId val="5940207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Roboto"/>
                  </a:rPr>
                  <a:t># of CPU Cores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endParaRPr lang="en-US"/>
          </a:p>
        </c:txPr>
        <c:crossAx val="139199145"/>
        <c:crosses val="autoZero"/>
        <c:auto val="1"/>
        <c:lblAlgn val="ctr"/>
        <c:lblOffset val="100"/>
        <c:noMultiLvlLbl val="1"/>
      </c:catAx>
      <c:valAx>
        <c:axId val="1391991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Roboto"/>
                  </a:rPr>
                  <a:t>Speedup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endParaRPr lang="en-US"/>
          </a:p>
        </c:txPr>
        <c:crossAx val="594020790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476250</xdr:colOff>
      <xdr:row>13</xdr:row>
      <xdr:rowOff>85725</xdr:rowOff>
    </xdr:from>
    <xdr:ext cx="6667500" cy="353377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38"/>
  <sheetViews>
    <sheetView tabSelected="1" workbookViewId="0">
      <selection activeCell="G35" sqref="G35"/>
    </sheetView>
  </sheetViews>
  <sheetFormatPr baseColWidth="10" defaultColWidth="14.5" defaultRowHeight="15.75" customHeight="1" x14ac:dyDescent="0.15"/>
  <cols>
    <col min="1" max="1" width="16.6640625" customWidth="1"/>
    <col min="2" max="2" width="18.1640625" customWidth="1"/>
    <col min="3" max="3" width="17" customWidth="1"/>
    <col min="5" max="5" width="19.1640625" customWidth="1"/>
  </cols>
  <sheetData>
    <row r="1" spans="1:7" ht="15.75" customHeight="1" x14ac:dyDescent="0.15">
      <c r="A1" s="1"/>
      <c r="B1" s="2"/>
      <c r="C1" s="2"/>
      <c r="D1" s="2"/>
      <c r="F1" s="2"/>
      <c r="G1" s="3"/>
    </row>
    <row r="2" spans="1:7" x14ac:dyDescent="0.2">
      <c r="A2" s="4"/>
      <c r="B2" s="2"/>
      <c r="C2" s="2"/>
      <c r="D2" s="2"/>
      <c r="F2" s="2"/>
      <c r="G2" s="3"/>
    </row>
    <row r="3" spans="1:7" ht="15.75" customHeight="1" x14ac:dyDescent="0.15">
      <c r="A3" s="5" t="s">
        <v>18</v>
      </c>
      <c r="B3" s="2"/>
      <c r="C3" s="2"/>
      <c r="D3" s="2"/>
      <c r="F3" s="2"/>
      <c r="G3" s="3"/>
    </row>
    <row r="4" spans="1:7" ht="15.75" customHeight="1" x14ac:dyDescent="0.15">
      <c r="A4" s="5" t="s">
        <v>19</v>
      </c>
      <c r="B4" s="2"/>
      <c r="C4" s="2"/>
      <c r="D4" s="2"/>
      <c r="F4" s="2"/>
      <c r="G4" s="3"/>
    </row>
    <row r="5" spans="1:7" ht="15.75" customHeight="1" x14ac:dyDescent="0.15">
      <c r="A5" s="6" t="s">
        <v>20</v>
      </c>
      <c r="B5" s="2"/>
      <c r="C5" s="2"/>
      <c r="D5" s="2"/>
      <c r="F5" s="2"/>
      <c r="G5" s="3"/>
    </row>
    <row r="6" spans="1:7" ht="15.75" customHeight="1" x14ac:dyDescent="0.15">
      <c r="A6" s="6" t="s">
        <v>22</v>
      </c>
      <c r="B6" s="2"/>
      <c r="C6" s="2"/>
      <c r="D6" s="2"/>
      <c r="F6" s="2"/>
      <c r="G6" s="3"/>
    </row>
    <row r="7" spans="1:7" ht="15.75" customHeight="1" x14ac:dyDescent="0.15">
      <c r="A7" s="5" t="s">
        <v>21</v>
      </c>
      <c r="B7" s="2"/>
      <c r="C7" s="2"/>
      <c r="D7" s="2"/>
      <c r="F7" s="2"/>
      <c r="G7" s="3"/>
    </row>
    <row r="8" spans="1:7" ht="15.75" customHeight="1" x14ac:dyDescent="0.15">
      <c r="A8" s="13"/>
      <c r="B8" s="2"/>
      <c r="C8" s="2"/>
      <c r="D8" s="2"/>
      <c r="F8" s="2"/>
      <c r="G8" s="3"/>
    </row>
    <row r="9" spans="1:7" ht="15.75" customHeight="1" x14ac:dyDescent="0.15">
      <c r="A9" s="2"/>
      <c r="B9" s="2"/>
      <c r="C9" s="2"/>
      <c r="D9" s="2"/>
      <c r="F9" s="2"/>
      <c r="G9" s="3"/>
    </row>
    <row r="10" spans="1:7" ht="15.75" customHeight="1" x14ac:dyDescent="0.15">
      <c r="A10" s="2" t="s">
        <v>0</v>
      </c>
      <c r="B10" s="2" t="s">
        <v>1</v>
      </c>
      <c r="C10" s="2" t="s">
        <v>2</v>
      </c>
      <c r="D10" s="2" t="s">
        <v>3</v>
      </c>
      <c r="F10" s="2" t="s">
        <v>4</v>
      </c>
      <c r="G10" s="3"/>
    </row>
    <row r="11" spans="1:7" ht="15.75" customHeight="1" x14ac:dyDescent="0.15">
      <c r="A11" s="2">
        <v>1</v>
      </c>
      <c r="B11" s="7">
        <v>645.4</v>
      </c>
      <c r="C11" s="8">
        <f t="shared" ref="C11:C20" si="0">B$11/B11</f>
        <v>1</v>
      </c>
      <c r="D11" s="8">
        <f t="shared" ref="D11:D20" si="1">1/((1-F$11)+F$11/$A11)</f>
        <v>1</v>
      </c>
      <c r="F11" s="9">
        <v>0.97</v>
      </c>
      <c r="G11" s="3"/>
    </row>
    <row r="12" spans="1:7" ht="15.75" customHeight="1" x14ac:dyDescent="0.15">
      <c r="A12" s="2">
        <v>2</v>
      </c>
      <c r="B12" s="7">
        <v>328.3</v>
      </c>
      <c r="C12" s="8">
        <f t="shared" si="0"/>
        <v>1.9658848614072493</v>
      </c>
      <c r="D12" s="8">
        <f t="shared" si="1"/>
        <v>1.941747572815534</v>
      </c>
      <c r="F12" s="3" t="s">
        <v>5</v>
      </c>
      <c r="G12" s="10"/>
    </row>
    <row r="13" spans="1:7" ht="15.75" customHeight="1" x14ac:dyDescent="0.15">
      <c r="A13" s="2">
        <v>3</v>
      </c>
      <c r="B13" s="7">
        <v>230</v>
      </c>
      <c r="C13" s="8">
        <f t="shared" si="0"/>
        <v>2.8060869565217392</v>
      </c>
      <c r="D13" s="8">
        <f t="shared" si="1"/>
        <v>2.8301886792452828</v>
      </c>
      <c r="F13" s="3" t="s">
        <v>6</v>
      </c>
      <c r="G13" s="10"/>
    </row>
    <row r="14" spans="1:7" ht="15.75" customHeight="1" x14ac:dyDescent="0.15">
      <c r="A14" s="2">
        <v>4</v>
      </c>
      <c r="B14" s="7">
        <v>172</v>
      </c>
      <c r="C14" s="8">
        <f t="shared" si="0"/>
        <v>3.7523255813953487</v>
      </c>
      <c r="D14" s="8">
        <f t="shared" si="1"/>
        <v>3.6697247706422016</v>
      </c>
    </row>
    <row r="15" spans="1:7" ht="15.75" customHeight="1" x14ac:dyDescent="0.15">
      <c r="A15" s="2">
        <v>5</v>
      </c>
      <c r="B15" s="7">
        <v>140.30000000000001</v>
      </c>
      <c r="C15" s="8">
        <f t="shared" si="0"/>
        <v>4.6001425516749812</v>
      </c>
      <c r="D15" s="8">
        <f t="shared" si="1"/>
        <v>4.4642857142857135</v>
      </c>
    </row>
    <row r="16" spans="1:7" ht="15.75" customHeight="1" x14ac:dyDescent="0.15">
      <c r="A16" s="2">
        <v>6</v>
      </c>
      <c r="B16" s="7">
        <v>117.5</v>
      </c>
      <c r="C16" s="8">
        <f t="shared" si="0"/>
        <v>5.4927659574468084</v>
      </c>
      <c r="D16" s="8">
        <f t="shared" si="1"/>
        <v>5.2173913043478262</v>
      </c>
    </row>
    <row r="17" spans="1:4" ht="15.75" customHeight="1" x14ac:dyDescent="0.15">
      <c r="A17" s="2">
        <v>7</v>
      </c>
      <c r="B17" s="7">
        <v>108</v>
      </c>
      <c r="C17" s="8">
        <f t="shared" si="0"/>
        <v>5.9759259259259254</v>
      </c>
      <c r="D17" s="8">
        <f t="shared" si="1"/>
        <v>5.9322033898305078</v>
      </c>
    </row>
    <row r="18" spans="1:4" ht="15.75" customHeight="1" x14ac:dyDescent="0.15">
      <c r="A18" s="2">
        <v>8</v>
      </c>
      <c r="B18" s="7">
        <v>97.8</v>
      </c>
      <c r="C18" s="8">
        <f t="shared" si="0"/>
        <v>6.5991820040899798</v>
      </c>
      <c r="D18" s="8">
        <f t="shared" si="1"/>
        <v>6.6115702479338836</v>
      </c>
    </row>
    <row r="19" spans="1:4" ht="15.75" customHeight="1" x14ac:dyDescent="0.15">
      <c r="A19" s="2">
        <v>9</v>
      </c>
      <c r="B19" s="7">
        <v>90.5</v>
      </c>
      <c r="C19" s="8">
        <f t="shared" si="0"/>
        <v>7.1314917127071817</v>
      </c>
      <c r="D19" s="8">
        <f t="shared" si="1"/>
        <v>7.2580645161290311</v>
      </c>
    </row>
    <row r="20" spans="1:4" ht="15.75" customHeight="1" x14ac:dyDescent="0.15">
      <c r="A20" s="2">
        <v>10</v>
      </c>
      <c r="B20" s="7">
        <v>85.3</v>
      </c>
      <c r="C20" s="8">
        <f t="shared" si="0"/>
        <v>7.5662368112543961</v>
      </c>
      <c r="D20" s="8">
        <f t="shared" si="1"/>
        <v>7.8740157480314945</v>
      </c>
    </row>
    <row r="21" spans="1:4" ht="15.75" customHeight="1" x14ac:dyDescent="0.15">
      <c r="A21" s="2"/>
      <c r="B21" s="8"/>
      <c r="C21" s="8"/>
      <c r="D21" s="8"/>
    </row>
    <row r="22" spans="1:4" ht="15.75" customHeight="1" x14ac:dyDescent="0.15">
      <c r="A22" s="2"/>
      <c r="B22" s="8"/>
      <c r="C22" s="8"/>
      <c r="D22" s="8"/>
    </row>
    <row r="23" spans="1:4" ht="15.75" customHeight="1" x14ac:dyDescent="0.15">
      <c r="A23" s="2"/>
      <c r="B23" s="8"/>
      <c r="C23" s="8"/>
      <c r="D23" s="8"/>
    </row>
    <row r="24" spans="1:4" ht="15.75" customHeight="1" x14ac:dyDescent="0.15">
      <c r="A24" s="2"/>
      <c r="B24" s="8"/>
      <c r="C24" s="8"/>
      <c r="D24" s="8"/>
    </row>
    <row r="25" spans="1:4" ht="15.75" customHeight="1" x14ac:dyDescent="0.15">
      <c r="A25" s="2"/>
      <c r="B25" s="8"/>
      <c r="C25" s="8"/>
      <c r="D25" s="8"/>
    </row>
    <row r="26" spans="1:4" ht="15.75" customHeight="1" x14ac:dyDescent="0.15">
      <c r="A26" s="2"/>
      <c r="B26" s="8"/>
      <c r="C26" s="8"/>
      <c r="D26" s="8"/>
    </row>
    <row r="27" spans="1:4" ht="15.75" customHeight="1" x14ac:dyDescent="0.15">
      <c r="A27" s="2"/>
      <c r="B27" s="8"/>
      <c r="C27" s="8"/>
      <c r="D27" s="8"/>
    </row>
    <row r="28" spans="1:4" ht="15.75" customHeight="1" x14ac:dyDescent="0.15">
      <c r="A28" s="2"/>
      <c r="B28" s="8"/>
      <c r="C28" s="8"/>
      <c r="D28" s="8"/>
    </row>
    <row r="29" spans="1:4" ht="15.75" customHeight="1" x14ac:dyDescent="0.15">
      <c r="A29" s="2"/>
      <c r="B29" s="8"/>
      <c r="C29" s="8"/>
      <c r="D29" s="8"/>
    </row>
    <row r="30" spans="1:4" ht="15.75" customHeight="1" x14ac:dyDescent="0.15">
      <c r="A30" s="2"/>
      <c r="B30" s="8"/>
      <c r="C30" s="8"/>
      <c r="D30" s="8"/>
    </row>
    <row r="31" spans="1:4" ht="15.75" customHeight="1" x14ac:dyDescent="0.15">
      <c r="A31" s="10"/>
      <c r="B31" s="10"/>
      <c r="C31" s="10"/>
      <c r="D31" s="10"/>
    </row>
    <row r="32" spans="1:4" ht="15.75" customHeight="1" x14ac:dyDescent="0.15">
      <c r="A32" s="10"/>
      <c r="B32" s="10"/>
      <c r="C32" s="10"/>
      <c r="D32" s="10"/>
    </row>
    <row r="33" spans="1:7" ht="15.75" customHeight="1" x14ac:dyDescent="0.15">
      <c r="A33" s="2" t="s">
        <v>7</v>
      </c>
      <c r="B33" s="2" t="s">
        <v>8</v>
      </c>
      <c r="C33" s="2" t="s">
        <v>9</v>
      </c>
      <c r="D33" s="2" t="s">
        <v>10</v>
      </c>
      <c r="E33" s="2" t="s">
        <v>11</v>
      </c>
      <c r="F33" s="2" t="s">
        <v>12</v>
      </c>
      <c r="G33" s="2" t="s">
        <v>13</v>
      </c>
    </row>
    <row r="34" spans="1:7" ht="15.75" customHeight="1" x14ac:dyDescent="0.15">
      <c r="A34" s="14" t="s">
        <v>14</v>
      </c>
      <c r="B34" s="14">
        <v>10</v>
      </c>
      <c r="C34" s="14">
        <v>2.6</v>
      </c>
      <c r="D34" s="8">
        <f t="shared" ref="D34:D36" si="2">1/((1-$F$11)+$F$11/B34)</f>
        <v>7.8740157480314945</v>
      </c>
      <c r="E34" s="8">
        <f t="shared" ref="E34:E36" si="3">D34*C34</f>
        <v>20.472440944881885</v>
      </c>
      <c r="F34" s="11">
        <f t="shared" ref="F34:F36" si="4">ROUND(($E$34/E34)*MIN($B$11:$B$30),1)</f>
        <v>85.3</v>
      </c>
      <c r="G34" s="12" t="s">
        <v>15</v>
      </c>
    </row>
    <row r="35" spans="1:7" ht="15.75" customHeight="1" x14ac:dyDescent="0.15">
      <c r="A35" s="14" t="s">
        <v>16</v>
      </c>
      <c r="B35" s="14">
        <v>8</v>
      </c>
      <c r="C35" s="14">
        <v>3.2</v>
      </c>
      <c r="D35" s="8">
        <f t="shared" si="2"/>
        <v>6.6115702479338836</v>
      </c>
      <c r="E35" s="8">
        <f t="shared" si="3"/>
        <v>21.15702479338843</v>
      </c>
      <c r="F35" s="11">
        <f t="shared" si="4"/>
        <v>82.5</v>
      </c>
      <c r="G35">
        <f t="shared" ref="G35:G36" si="5">ROUND(100*((F34-F35)/F34),2)</f>
        <v>3.28</v>
      </c>
    </row>
    <row r="36" spans="1:7" ht="15.75" customHeight="1" x14ac:dyDescent="0.15">
      <c r="A36" s="14" t="s">
        <v>17</v>
      </c>
      <c r="B36" s="14">
        <v>12</v>
      </c>
      <c r="C36" s="14">
        <v>2.6</v>
      </c>
      <c r="D36" s="8">
        <f t="shared" si="2"/>
        <v>9.0225563909774422</v>
      </c>
      <c r="E36" s="8">
        <f t="shared" si="3"/>
        <v>23.458646616541351</v>
      </c>
      <c r="F36" s="11">
        <f t="shared" si="4"/>
        <v>74.400000000000006</v>
      </c>
      <c r="G36">
        <f t="shared" si="5"/>
        <v>9.82</v>
      </c>
    </row>
    <row r="37" spans="1:7" ht="15.75" customHeight="1" x14ac:dyDescent="0.15">
      <c r="D37" s="8"/>
      <c r="E37" s="8"/>
    </row>
    <row r="38" spans="1:7" ht="15.75" customHeight="1" x14ac:dyDescent="0.15">
      <c r="C38" s="1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Ost</cp:lastModifiedBy>
  <dcterms:modified xsi:type="dcterms:W3CDTF">2020-12-09T01:36:05Z</dcterms:modified>
</cp:coreProperties>
</file>
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openMP\openMP\part1\"/>
    </mc:Choice>
  </mc:AlternateContent>
  <xr:revisionPtr revIDLastSave="0" documentId="13_ncr:1_{F8DD24E4-3DCC-4D85-9878-6EB7FFC18374}" xr6:coauthVersionLast="47" xr6:coauthVersionMax="47" xr10:uidLastSave="{00000000-0000-0000-0000-000000000000}"/>
  <bookViews>
    <workbookView xWindow="-120" yWindow="-120" windowWidth="20910" windowHeight="13740" activeTab="5" xr2:uid="{00000000-000D-0000-FFFF-FFFF00000000}"/>
  </bookViews>
  <sheets>
    <sheet name="5x5" sheetId="7" r:id="rId1"/>
    <sheet name="10x10" sheetId="6" r:id="rId2"/>
    <sheet name="50x50" sheetId="5" r:id="rId3"/>
    <sheet name="100x100" sheetId="8" r:id="rId4"/>
    <sheet name="1000x1000" sheetId="4" r:id="rId5"/>
    <sheet name="1500x1500" sheetId="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8" l="1"/>
  <c r="E36" i="8" s="1"/>
  <c r="D35" i="8"/>
  <c r="E35" i="8" s="1"/>
  <c r="D34" i="8"/>
  <c r="E34" i="8" s="1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34" i="7"/>
  <c r="E34" i="7" s="1"/>
  <c r="D35" i="7"/>
  <c r="E35" i="7" s="1"/>
  <c r="D36" i="7"/>
  <c r="E36" i="7" s="1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36" i="6"/>
  <c r="E36" i="6" s="1"/>
  <c r="D35" i="6"/>
  <c r="E35" i="6" s="1"/>
  <c r="D34" i="6"/>
  <c r="E34" i="6" s="1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36" i="5"/>
  <c r="E36" i="5" s="1"/>
  <c r="D35" i="5"/>
  <c r="E35" i="5" s="1"/>
  <c r="D34" i="5"/>
  <c r="E34" i="5" s="1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36" i="4"/>
  <c r="E36" i="4" s="1"/>
  <c r="D35" i="4"/>
  <c r="E35" i="4" s="1"/>
  <c r="D34" i="4"/>
  <c r="E34" i="4" s="1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C12" i="1"/>
  <c r="C13" i="1"/>
  <c r="C14" i="1"/>
  <c r="C15" i="1"/>
  <c r="C16" i="1"/>
  <c r="C17" i="1"/>
  <c r="C18" i="1"/>
  <c r="D36" i="1"/>
  <c r="E36" i="1" s="1"/>
  <c r="D35" i="1"/>
  <c r="E35" i="1" s="1"/>
  <c r="D34" i="1"/>
  <c r="E34" i="1" s="1"/>
  <c r="D18" i="1"/>
  <c r="D17" i="1"/>
  <c r="D16" i="1"/>
  <c r="D15" i="1"/>
  <c r="D14" i="1"/>
  <c r="D13" i="1"/>
  <c r="D12" i="1"/>
  <c r="D11" i="1"/>
  <c r="C11" i="1"/>
  <c r="F34" i="8" l="1"/>
  <c r="F36" i="8"/>
  <c r="F35" i="8"/>
  <c r="F36" i="7"/>
  <c r="F34" i="7"/>
  <c r="F35" i="7"/>
  <c r="F34" i="6"/>
  <c r="F36" i="6"/>
  <c r="F35" i="6"/>
  <c r="F34" i="5"/>
  <c r="F36" i="5"/>
  <c r="F35" i="5"/>
  <c r="F36" i="4"/>
  <c r="F35" i="4"/>
  <c r="F34" i="4"/>
  <c r="F34" i="1"/>
  <c r="F35" i="1"/>
  <c r="F36" i="1"/>
  <c r="G35" i="4" l="1"/>
  <c r="G36" i="1"/>
  <c r="G36" i="4"/>
  <c r="G35" i="8"/>
  <c r="G36" i="8"/>
  <c r="G35" i="1"/>
  <c r="G35" i="7"/>
  <c r="G36" i="7"/>
  <c r="G36" i="6"/>
  <c r="G35" i="6"/>
  <c r="G36" i="5"/>
  <c r="G35" i="5"/>
</calcChain>
</file>

<file path=xl/sharedStrings.xml><?xml version="1.0" encoding="utf-8"?>
<sst xmlns="http://schemas.openxmlformats.org/spreadsheetml/2006/main" count="138" uniqueCount="23">
  <si>
    <t># of CPU Cores</t>
  </si>
  <si>
    <t>Benchmark Time</t>
  </si>
  <si>
    <t>Calculated Speedup</t>
  </si>
  <si>
    <t>Amdahl's Law Speedup</t>
  </si>
  <si>
    <t>Parallel Efficiency:</t>
  </si>
  <si>
    <t>Change between 0 and 1</t>
  </si>
  <si>
    <t>until both lines are close</t>
  </si>
  <si>
    <t>CPU Model</t>
  </si>
  <si>
    <t>Cores</t>
  </si>
  <si>
    <t>Frequency*</t>
  </si>
  <si>
    <t>Effective Cores</t>
  </si>
  <si>
    <t>Relative GFLOPs</t>
  </si>
  <si>
    <t>Estimated Benchmark Time</t>
  </si>
  <si>
    <t>Improvement (%)</t>
  </si>
  <si>
    <t>Tested CPU</t>
  </si>
  <si>
    <t>-</t>
  </si>
  <si>
    <t>Compare CPU1</t>
  </si>
  <si>
    <t>Compare CPU2</t>
  </si>
  <si>
    <t>1) In the orange cells, enter you benchmark times for each core count</t>
  </si>
  <si>
    <t>2) Adjust the parallel efficiency (yellow cell) until the lines on the graph are close</t>
  </si>
  <si>
    <t>3) In the blue cells, enter the CPU name, total number of physical cores, and the CPU frequency of the CPUs you are interested in</t>
  </si>
  <si>
    <t>5) The green cells show the estimated benchmark time for each CPU</t>
  </si>
  <si>
    <t xml:space="preserve">4) Limit CPU comparisons to ones that are within the same family.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</si>
</sst>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10"/>
      <color rgb="FFFF0000"/>
      <name val="Arial"/>
    </font>
    <font>
      <b/>
      <sz val="11"/>
      <name val="Arial"/>
    </font>
    <font>
      <i/>
      <sz val="11"/>
      <name val="Arial"/>
    </font>
    <font>
      <b/>
      <sz val="12"/>
      <color rgb="FFFF0000"/>
      <name val="Arial"/>
    </font>
    <font>
      <sz val="10"/>
      <name val="Arial"/>
    </font>
    <font>
      <sz val="11"/>
      <name val="Arial"/>
    </font>
    <font>
      <sz val="10"/>
      <name val="Arial"/>
    </font>
    <font>
      <u/>
      <sz val="10"/>
      <color theme="10"/>
      <name val="Arial"/>
    </font>
    <font>
      <u/>
      <sz val="11"/>
      <name val="Arial"/>
      <family val="2"/>
    </font>
    <font>
      <sz val="11"/>
      <name val="Arial"/>
      <family val="2"/>
    </font>
    <font>
      <i/>
      <u/>
      <sz val="11"/>
      <name val="Arial"/>
      <family val="2"/>
    </font>
    <font>
      <u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2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1"/>
    <xf numFmtId="0" fontId="6" fillId="5" borderId="0" xfId="0" applyFont="1" applyFill="1"/>
    <xf numFmtId="0" fontId="9" fillId="0" borderId="0" xfId="0" applyFont="1"/>
    <xf numFmtId="0" fontId="9" fillId="5" borderId="0" xfId="0" applyFont="1" applyFill="1"/>
    <xf numFmtId="0" fontId="10" fillId="5" borderId="0" xfId="0" applyFont="1" applyFill="1"/>
    <xf numFmtId="0" fontId="11" fillId="0" borderId="0" xfId="0" applyFont="1"/>
    <xf numFmtId="0" fontId="1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r>
              <a:rPr lang="en-GB" sz="1600" b="1">
                <a:solidFill>
                  <a:srgbClr val="000000"/>
                </a:solidFill>
                <a:latin typeface="Roboto"/>
              </a:rPr>
              <a:t>Parallelization Efficiency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'5x5'!$C$10</c:f>
              <c:strCache>
                <c:ptCount val="1"/>
                <c:pt idx="0">
                  <c:v>Calculated Speedup</c:v>
                </c:pt>
              </c:strCache>
            </c:strRef>
          </c:tx>
          <c:marker>
            <c:symbol val="none"/>
          </c:marker>
          <c:val>
            <c:numRef>
              <c:f>'5x5'!$C$11:$C$30</c:f>
              <c:numCache>
                <c:formatCode>General</c:formatCode>
                <c:ptCount val="20"/>
                <c:pt idx="0">
                  <c:v>1</c:v>
                </c:pt>
                <c:pt idx="1">
                  <c:v>6.1576354679802959E-3</c:v>
                </c:pt>
                <c:pt idx="2">
                  <c:v>1.0141987829614606E-2</c:v>
                </c:pt>
                <c:pt idx="3">
                  <c:v>5.9665871121718375E-3</c:v>
                </c:pt>
                <c:pt idx="4">
                  <c:v>3.7907505686125857E-3</c:v>
                </c:pt>
                <c:pt idx="5">
                  <c:v>2.6123301985370951E-3</c:v>
                </c:pt>
                <c:pt idx="6">
                  <c:v>2.1114864864864866E-3</c:v>
                </c:pt>
                <c:pt idx="7">
                  <c:v>1.8773701798520634E-4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19-47C8-8AF0-3973C2FE4F4B}"/>
            </c:ext>
          </c:extLst>
        </c:ser>
        <c:ser>
          <c:idx val="1"/>
          <c:order val="1"/>
          <c:tx>
            <c:strRef>
              <c:f>'5x5'!$D$10</c:f>
              <c:strCache>
                <c:ptCount val="1"/>
                <c:pt idx="0">
                  <c:v>Amdahl's Law Speedup</c:v>
                </c:pt>
              </c:strCache>
            </c:strRef>
          </c:tx>
          <c:marker>
            <c:symbol val="none"/>
          </c:marker>
          <c:val>
            <c:numRef>
              <c:f>'5x5'!$D$11:$D$30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9-47C8-8AF0-3973C2FE4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020790"/>
        <c:axId val="139199145"/>
      </c:lineChart>
      <c:catAx>
        <c:axId val="59402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#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9199145"/>
        <c:crosses val="autoZero"/>
        <c:auto val="1"/>
        <c:lblAlgn val="ctr"/>
        <c:lblOffset val="100"/>
        <c:noMultiLvlLbl val="1"/>
      </c:catAx>
      <c:valAx>
        <c:axId val="139199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40207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r>
              <a:rPr lang="en-GB" sz="1600" b="1">
                <a:solidFill>
                  <a:srgbClr val="000000"/>
                </a:solidFill>
                <a:latin typeface="Roboto"/>
              </a:rPr>
              <a:t>Parallelization Efficiency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'10x10'!$C$10</c:f>
              <c:strCache>
                <c:ptCount val="1"/>
                <c:pt idx="0">
                  <c:v>Calculated Speedup</c:v>
                </c:pt>
              </c:strCache>
            </c:strRef>
          </c:tx>
          <c:marker>
            <c:symbol val="none"/>
          </c:marker>
          <c:val>
            <c:numRef>
              <c:f>'10x10'!$C$11:$C$30</c:f>
              <c:numCache>
                <c:formatCode>General</c:formatCode>
                <c:ptCount val="20"/>
                <c:pt idx="0">
                  <c:v>1</c:v>
                </c:pt>
                <c:pt idx="1">
                  <c:v>0.39506172839506171</c:v>
                </c:pt>
                <c:pt idx="2">
                  <c:v>0.31372549019607848</c:v>
                </c:pt>
                <c:pt idx="3">
                  <c:v>0.14953271028037385</c:v>
                </c:pt>
                <c:pt idx="4">
                  <c:v>0.17937219730941703</c:v>
                </c:pt>
                <c:pt idx="5">
                  <c:v>0.14773776546629733</c:v>
                </c:pt>
                <c:pt idx="6">
                  <c:v>6.8317677198975232E-2</c:v>
                </c:pt>
                <c:pt idx="7">
                  <c:v>4.2429063908777515E-2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D5-4A9F-83EE-232C41A9E389}"/>
            </c:ext>
          </c:extLst>
        </c:ser>
        <c:ser>
          <c:idx val="1"/>
          <c:order val="1"/>
          <c:tx>
            <c:strRef>
              <c:f>'10x10'!$D$10</c:f>
              <c:strCache>
                <c:ptCount val="1"/>
                <c:pt idx="0">
                  <c:v>Amdahl's Law Speedup</c:v>
                </c:pt>
              </c:strCache>
            </c:strRef>
          </c:tx>
          <c:marker>
            <c:symbol val="none"/>
          </c:marker>
          <c:val>
            <c:numRef>
              <c:f>'10x10'!$D$11:$D$30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D5-4A9F-83EE-232C41A9E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020790"/>
        <c:axId val="139199145"/>
      </c:lineChart>
      <c:catAx>
        <c:axId val="59402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#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9199145"/>
        <c:crosses val="autoZero"/>
        <c:auto val="1"/>
        <c:lblAlgn val="ctr"/>
        <c:lblOffset val="100"/>
        <c:noMultiLvlLbl val="1"/>
      </c:catAx>
      <c:valAx>
        <c:axId val="139199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40207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r>
              <a:rPr lang="en-GB" sz="1600" b="1">
                <a:solidFill>
                  <a:srgbClr val="000000"/>
                </a:solidFill>
                <a:latin typeface="Roboto"/>
              </a:rPr>
              <a:t>Parallelization Efficiency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'50x50'!$C$10</c:f>
              <c:strCache>
                <c:ptCount val="1"/>
                <c:pt idx="0">
                  <c:v>Calculated Speedup</c:v>
                </c:pt>
              </c:strCache>
            </c:strRef>
          </c:tx>
          <c:marker>
            <c:symbol val="none"/>
          </c:marker>
          <c:val>
            <c:numRef>
              <c:f>'50x50'!$C$11:$C$30</c:f>
              <c:numCache>
                <c:formatCode>General</c:formatCode>
                <c:ptCount val="20"/>
                <c:pt idx="0">
                  <c:v>1</c:v>
                </c:pt>
                <c:pt idx="1">
                  <c:v>1.518854415274463</c:v>
                </c:pt>
                <c:pt idx="2">
                  <c:v>1.5613346418056917</c:v>
                </c:pt>
                <c:pt idx="3">
                  <c:v>1.7135164243403338</c:v>
                </c:pt>
                <c:pt idx="4">
                  <c:v>1.839306358381503</c:v>
                </c:pt>
                <c:pt idx="5">
                  <c:v>1.8940476190476188</c:v>
                </c:pt>
                <c:pt idx="6">
                  <c:v>1.6791556728232189</c:v>
                </c:pt>
                <c:pt idx="7">
                  <c:v>0.83648790746582535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2-44FB-A565-EACE0FC40481}"/>
            </c:ext>
          </c:extLst>
        </c:ser>
        <c:ser>
          <c:idx val="1"/>
          <c:order val="1"/>
          <c:tx>
            <c:strRef>
              <c:f>'50x50'!$D$10</c:f>
              <c:strCache>
                <c:ptCount val="1"/>
                <c:pt idx="0">
                  <c:v>Amdahl's Law Speedup</c:v>
                </c:pt>
              </c:strCache>
            </c:strRef>
          </c:tx>
          <c:marker>
            <c:symbol val="none"/>
          </c:marker>
          <c:val>
            <c:numRef>
              <c:f>'50x50'!$D$11:$D$30</c:f>
              <c:numCache>
                <c:formatCode>General</c:formatCode>
                <c:ptCount val="20"/>
                <c:pt idx="0">
                  <c:v>1</c:v>
                </c:pt>
                <c:pt idx="1">
                  <c:v>1.3986013986013985</c:v>
                </c:pt>
                <c:pt idx="2">
                  <c:v>1.6129032258064517</c:v>
                </c:pt>
                <c:pt idx="3">
                  <c:v>1.7467248908296944</c:v>
                </c:pt>
                <c:pt idx="4">
                  <c:v>1.838235294117647</c:v>
                </c:pt>
                <c:pt idx="5">
                  <c:v>1.9047619047619047</c:v>
                </c:pt>
                <c:pt idx="6">
                  <c:v>1.9553072625698322</c:v>
                </c:pt>
                <c:pt idx="7">
                  <c:v>1.9950124688279298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2-44FB-A565-EACE0FC4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020790"/>
        <c:axId val="139199145"/>
      </c:lineChart>
      <c:catAx>
        <c:axId val="59402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#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9199145"/>
        <c:crosses val="autoZero"/>
        <c:auto val="1"/>
        <c:lblAlgn val="ctr"/>
        <c:lblOffset val="100"/>
        <c:noMultiLvlLbl val="1"/>
      </c:catAx>
      <c:valAx>
        <c:axId val="139199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40207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r>
              <a:rPr lang="en-GB" sz="1600" b="1">
                <a:solidFill>
                  <a:srgbClr val="000000"/>
                </a:solidFill>
                <a:latin typeface="Roboto"/>
              </a:rPr>
              <a:t>Parallelization Efficiency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'100x100'!$C$10</c:f>
              <c:strCache>
                <c:ptCount val="1"/>
                <c:pt idx="0">
                  <c:v>Calculated Speedup</c:v>
                </c:pt>
              </c:strCache>
            </c:strRef>
          </c:tx>
          <c:marker>
            <c:symbol val="none"/>
          </c:marker>
          <c:val>
            <c:numRef>
              <c:f>'100x100'!$C$11:$C$30</c:f>
              <c:numCache>
                <c:formatCode>General</c:formatCode>
                <c:ptCount val="20"/>
                <c:pt idx="0">
                  <c:v>1</c:v>
                </c:pt>
                <c:pt idx="1">
                  <c:v>1.3030620467365026</c:v>
                </c:pt>
                <c:pt idx="2">
                  <c:v>2.0855042558679391</c:v>
                </c:pt>
                <c:pt idx="3">
                  <c:v>2.1521160500399255</c:v>
                </c:pt>
                <c:pt idx="4">
                  <c:v>2.149541406353848</c:v>
                </c:pt>
                <c:pt idx="5">
                  <c:v>1.887151359551873</c:v>
                </c:pt>
                <c:pt idx="6">
                  <c:v>1.2461277645064344</c:v>
                </c:pt>
                <c:pt idx="7">
                  <c:v>2.2999573318162425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8-4BDD-B39B-059D3A87B1EC}"/>
            </c:ext>
          </c:extLst>
        </c:ser>
        <c:ser>
          <c:idx val="1"/>
          <c:order val="1"/>
          <c:tx>
            <c:strRef>
              <c:f>'100x100'!$D$10</c:f>
              <c:strCache>
                <c:ptCount val="1"/>
                <c:pt idx="0">
                  <c:v>Amdahl's Law Speedup</c:v>
                </c:pt>
              </c:strCache>
            </c:strRef>
          </c:tx>
          <c:marker>
            <c:symbol val="none"/>
          </c:marker>
          <c:val>
            <c:numRef>
              <c:f>'100x100'!$D$11:$D$30</c:f>
              <c:numCache>
                <c:formatCode>General</c:formatCode>
                <c:ptCount val="20"/>
                <c:pt idx="0">
                  <c:v>1</c:v>
                </c:pt>
                <c:pt idx="1">
                  <c:v>1.5384615384615383</c:v>
                </c:pt>
                <c:pt idx="2">
                  <c:v>1.875</c:v>
                </c:pt>
                <c:pt idx="3">
                  <c:v>2.1052631578947367</c:v>
                </c:pt>
                <c:pt idx="4">
                  <c:v>2.2727272727272725</c:v>
                </c:pt>
                <c:pt idx="5">
                  <c:v>2.4</c:v>
                </c:pt>
                <c:pt idx="6">
                  <c:v>2.5</c:v>
                </c:pt>
                <c:pt idx="7">
                  <c:v>2.5806451612903221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8-4BDD-B39B-059D3A87B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020790"/>
        <c:axId val="139199145"/>
      </c:lineChart>
      <c:catAx>
        <c:axId val="59402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#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9199145"/>
        <c:crosses val="autoZero"/>
        <c:auto val="1"/>
        <c:lblAlgn val="ctr"/>
        <c:lblOffset val="100"/>
        <c:noMultiLvlLbl val="1"/>
      </c:catAx>
      <c:valAx>
        <c:axId val="139199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40207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r>
              <a:rPr lang="en-GB" sz="1600" b="1">
                <a:solidFill>
                  <a:srgbClr val="000000"/>
                </a:solidFill>
                <a:latin typeface="Roboto"/>
              </a:rPr>
              <a:t>Parallelization Efficiency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'1000x1000'!$C$10</c:f>
              <c:strCache>
                <c:ptCount val="1"/>
                <c:pt idx="0">
                  <c:v>Calculated Speedup</c:v>
                </c:pt>
              </c:strCache>
            </c:strRef>
          </c:tx>
          <c:marker>
            <c:symbol val="none"/>
          </c:marker>
          <c:val>
            <c:numRef>
              <c:f>'1000x1000'!$C$11:$C$30</c:f>
              <c:numCache>
                <c:formatCode>General</c:formatCode>
                <c:ptCount val="20"/>
                <c:pt idx="0">
                  <c:v>1</c:v>
                </c:pt>
                <c:pt idx="1">
                  <c:v>1.465691440776808</c:v>
                </c:pt>
                <c:pt idx="2">
                  <c:v>2.1563349562233176</c:v>
                </c:pt>
                <c:pt idx="3">
                  <c:v>2.6934975725648176</c:v>
                </c:pt>
                <c:pt idx="4">
                  <c:v>2.8955360612958745</c:v>
                </c:pt>
                <c:pt idx="5">
                  <c:v>2.9317124587168855</c:v>
                </c:pt>
                <c:pt idx="6">
                  <c:v>2.992526072673543</c:v>
                </c:pt>
                <c:pt idx="7">
                  <c:v>3.0665177062048889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5-4E01-84DD-5C7BDC3A44D3}"/>
            </c:ext>
          </c:extLst>
        </c:ser>
        <c:ser>
          <c:idx val="1"/>
          <c:order val="1"/>
          <c:tx>
            <c:strRef>
              <c:f>'1000x1000'!$D$10</c:f>
              <c:strCache>
                <c:ptCount val="1"/>
                <c:pt idx="0">
                  <c:v>Amdahl's Law Speedup</c:v>
                </c:pt>
              </c:strCache>
            </c:strRef>
          </c:tx>
          <c:marker>
            <c:symbol val="none"/>
          </c:marker>
          <c:val>
            <c:numRef>
              <c:f>'1000x1000'!$D$11:$D$30</c:f>
              <c:numCache>
                <c:formatCode>General</c:formatCode>
                <c:ptCount val="20"/>
                <c:pt idx="0">
                  <c:v>1</c:v>
                </c:pt>
                <c:pt idx="1">
                  <c:v>1.6949152542372878</c:v>
                </c:pt>
                <c:pt idx="2">
                  <c:v>2.2058823529411762</c:v>
                </c:pt>
                <c:pt idx="3">
                  <c:v>2.5974025974025974</c:v>
                </c:pt>
                <c:pt idx="4">
                  <c:v>2.9069767441860463</c:v>
                </c:pt>
                <c:pt idx="5">
                  <c:v>3.1578947368421049</c:v>
                </c:pt>
                <c:pt idx="6">
                  <c:v>3.3653846153846154</c:v>
                </c:pt>
                <c:pt idx="7">
                  <c:v>3.5398230088495573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35-4E01-84DD-5C7BDC3A4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020790"/>
        <c:axId val="139199145"/>
      </c:lineChart>
      <c:catAx>
        <c:axId val="59402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#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9199145"/>
        <c:crosses val="autoZero"/>
        <c:auto val="1"/>
        <c:lblAlgn val="ctr"/>
        <c:lblOffset val="100"/>
        <c:noMultiLvlLbl val="1"/>
      </c:catAx>
      <c:valAx>
        <c:axId val="139199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40207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r>
              <a:rPr lang="en-GB" sz="1600" b="1">
                <a:solidFill>
                  <a:srgbClr val="000000"/>
                </a:solidFill>
                <a:latin typeface="Roboto"/>
              </a:rPr>
              <a:t>Parallelization Efficiency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'1500x1500'!$C$10</c:f>
              <c:strCache>
                <c:ptCount val="1"/>
                <c:pt idx="0">
                  <c:v>Calculated Speedup</c:v>
                </c:pt>
              </c:strCache>
            </c:strRef>
          </c:tx>
          <c:marker>
            <c:symbol val="none"/>
          </c:marker>
          <c:val>
            <c:numRef>
              <c:f>'1500x1500'!$C$11:$C$30</c:f>
              <c:numCache>
                <c:formatCode>General</c:formatCode>
                <c:ptCount val="20"/>
                <c:pt idx="0">
                  <c:v>1</c:v>
                </c:pt>
                <c:pt idx="1">
                  <c:v>1.6328365567407446</c:v>
                </c:pt>
                <c:pt idx="2">
                  <c:v>2.2851061839274021</c:v>
                </c:pt>
                <c:pt idx="3">
                  <c:v>2.8845005554099887</c:v>
                </c:pt>
                <c:pt idx="4">
                  <c:v>2.9489490622488672</c:v>
                </c:pt>
                <c:pt idx="5">
                  <c:v>3.1705472895133942</c:v>
                </c:pt>
                <c:pt idx="6">
                  <c:v>3.2722903470248137</c:v>
                </c:pt>
                <c:pt idx="7">
                  <c:v>3.2066823660695976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1-784C-96CE-04B0035ECDC1}"/>
            </c:ext>
          </c:extLst>
        </c:ser>
        <c:ser>
          <c:idx val="1"/>
          <c:order val="1"/>
          <c:tx>
            <c:strRef>
              <c:f>'1500x1500'!$D$10</c:f>
              <c:strCache>
                <c:ptCount val="1"/>
                <c:pt idx="0">
                  <c:v>Amdahl's Law Speedup</c:v>
                </c:pt>
              </c:strCache>
            </c:strRef>
          </c:tx>
          <c:marker>
            <c:symbol val="none"/>
          </c:marker>
          <c:val>
            <c:numRef>
              <c:f>'1500x1500'!$D$11:$D$30</c:f>
              <c:numCache>
                <c:formatCode>General</c:formatCode>
                <c:ptCount val="20"/>
                <c:pt idx="0">
                  <c:v>1</c:v>
                </c:pt>
                <c:pt idx="1">
                  <c:v>1.7391304347826089</c:v>
                </c:pt>
                <c:pt idx="2">
                  <c:v>2.3076923076923075</c:v>
                </c:pt>
                <c:pt idx="3">
                  <c:v>2.7586206896551722</c:v>
                </c:pt>
                <c:pt idx="4">
                  <c:v>3.125</c:v>
                </c:pt>
                <c:pt idx="5">
                  <c:v>3.4285714285714284</c:v>
                </c:pt>
                <c:pt idx="6">
                  <c:v>3.6842105263157889</c:v>
                </c:pt>
                <c:pt idx="7">
                  <c:v>3.9024390243902434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E1-784C-96CE-04B0035E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4020790"/>
        <c:axId val="139199145"/>
      </c:lineChart>
      <c:catAx>
        <c:axId val="59402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# of CPU 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39199145"/>
        <c:crosses val="autoZero"/>
        <c:auto val="1"/>
        <c:lblAlgn val="ctr"/>
        <c:lblOffset val="100"/>
        <c:noMultiLvlLbl val="1"/>
      </c:catAx>
      <c:valAx>
        <c:axId val="139199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Roboto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9402079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600075</xdr:colOff>
      <xdr:row>13</xdr:row>
      <xdr:rowOff>171451</xdr:rowOff>
    </xdr:from>
    <xdr:ext cx="6315075" cy="31242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F61913AC-BD16-46E4-A558-3BF4B33B8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13</xdr:row>
      <xdr:rowOff>85725</xdr:rowOff>
    </xdr:from>
    <xdr:ext cx="66675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8D60F60C-92A4-4146-9319-D1CA61E31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13</xdr:row>
      <xdr:rowOff>85725</xdr:rowOff>
    </xdr:from>
    <xdr:ext cx="66675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5795F415-1DAB-4FFF-BE70-000626C6A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13</xdr:row>
      <xdr:rowOff>85725</xdr:rowOff>
    </xdr:from>
    <xdr:ext cx="66675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855522B0-B1FF-4F55-AD61-47659D507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13</xdr:row>
      <xdr:rowOff>85725</xdr:rowOff>
    </xdr:from>
    <xdr:ext cx="66675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C81D0064-AC18-4068-9BE1-0500385EB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13</xdr:row>
      <xdr:rowOff>85725</xdr:rowOff>
    </xdr:from>
    <xdr:ext cx="66675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8DF2-EE33-4481-9AD9-EA04A1FE1BF0}">
  <sheetPr>
    <outlinePr summaryBelow="0" summaryRight="0"/>
  </sheetPr>
  <dimension ref="A1:G38"/>
  <sheetViews>
    <sheetView workbookViewId="0">
      <selection activeCell="H7" sqref="H7"/>
    </sheetView>
  </sheetViews>
  <sheetFormatPr defaultColWidth="14.42578125" defaultRowHeight="15.75" customHeight="1" x14ac:dyDescent="0.2"/>
  <cols>
    <col min="1" max="1" width="16.7109375" customWidth="1"/>
    <col min="2" max="2" width="18.140625" customWidth="1"/>
    <col min="3" max="3" width="21.85546875" bestFit="1" customWidth="1"/>
    <col min="5" max="5" width="19.140625" customWidth="1"/>
  </cols>
  <sheetData>
    <row r="1" spans="1:7" ht="15.75" customHeight="1" x14ac:dyDescent="0.25">
      <c r="A1" s="1"/>
      <c r="B1" s="2"/>
      <c r="C1" s="2"/>
      <c r="D1" s="2"/>
      <c r="F1" s="2"/>
      <c r="G1" s="3"/>
    </row>
    <row r="2" spans="1:7" x14ac:dyDescent="0.25">
      <c r="A2" s="4"/>
      <c r="B2" s="2"/>
      <c r="C2" s="2"/>
      <c r="D2" s="2"/>
      <c r="F2" s="2"/>
      <c r="G2" s="3"/>
    </row>
    <row r="3" spans="1:7" ht="15.75" customHeight="1" x14ac:dyDescent="0.25">
      <c r="A3" s="5" t="s">
        <v>18</v>
      </c>
      <c r="B3" s="2"/>
      <c r="C3" s="2"/>
      <c r="D3" s="2"/>
      <c r="F3" s="2"/>
      <c r="G3" s="3"/>
    </row>
    <row r="4" spans="1:7" ht="15.75" customHeight="1" x14ac:dyDescent="0.25">
      <c r="A4" s="5" t="s">
        <v>19</v>
      </c>
      <c r="B4" s="2"/>
      <c r="C4" s="2"/>
      <c r="D4" s="2"/>
      <c r="F4" s="2"/>
      <c r="G4" s="3"/>
    </row>
    <row r="5" spans="1:7" ht="15.75" customHeight="1" x14ac:dyDescent="0.25">
      <c r="A5" s="5" t="s">
        <v>20</v>
      </c>
      <c r="B5" s="2"/>
      <c r="C5" s="2"/>
      <c r="D5" s="2"/>
      <c r="F5" s="2"/>
      <c r="G5" s="3"/>
    </row>
    <row r="6" spans="1:7" ht="15.75" customHeight="1" x14ac:dyDescent="0.25">
      <c r="A6" s="5" t="s">
        <v>22</v>
      </c>
      <c r="B6" s="2"/>
      <c r="C6" s="2"/>
      <c r="D6" s="2"/>
      <c r="F6" s="2"/>
      <c r="G6" s="3"/>
    </row>
    <row r="7" spans="1:7" ht="15.75" customHeight="1" x14ac:dyDescent="0.25">
      <c r="A7" s="5" t="s">
        <v>21</v>
      </c>
      <c r="B7" s="2"/>
      <c r="C7" s="2"/>
      <c r="D7" s="2"/>
      <c r="F7" s="2"/>
      <c r="G7" s="3"/>
    </row>
    <row r="8" spans="1:7" ht="15.75" customHeight="1" x14ac:dyDescent="0.25">
      <c r="A8" s="11"/>
      <c r="B8" s="2"/>
      <c r="C8" s="2"/>
      <c r="D8" s="2"/>
      <c r="F8" s="2"/>
      <c r="G8" s="3"/>
    </row>
    <row r="9" spans="1:7" ht="15.75" customHeight="1" x14ac:dyDescent="0.25">
      <c r="A9" s="2"/>
      <c r="B9" s="2"/>
      <c r="C9" s="2"/>
      <c r="D9" s="2"/>
      <c r="F9" s="2"/>
      <c r="G9" s="3"/>
    </row>
    <row r="10" spans="1:7" ht="15.75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F10" s="2" t="s">
        <v>4</v>
      </c>
      <c r="G10" s="3"/>
    </row>
    <row r="11" spans="1:7" ht="15.75" customHeight="1" x14ac:dyDescent="0.25">
      <c r="A11" s="2">
        <v>1</v>
      </c>
      <c r="B11" s="6">
        <v>5.0000000000000001E-4</v>
      </c>
      <c r="C11" s="7">
        <f t="shared" ref="C11:C18" si="0">B$11/B11</f>
        <v>1</v>
      </c>
      <c r="D11" s="7">
        <f t="shared" ref="D11:D18" si="1">1/((1-F$11)+F$11/$A11)</f>
        <v>1</v>
      </c>
      <c r="F11" s="8">
        <v>0</v>
      </c>
      <c r="G11" s="3"/>
    </row>
    <row r="12" spans="1:7" ht="15.75" customHeight="1" x14ac:dyDescent="0.25">
      <c r="A12" s="2">
        <v>2</v>
      </c>
      <c r="B12" s="6">
        <v>8.1199999999999994E-2</v>
      </c>
      <c r="C12" s="7">
        <f t="shared" si="0"/>
        <v>6.1576354679802959E-3</v>
      </c>
      <c r="D12" s="7">
        <f t="shared" si="1"/>
        <v>1</v>
      </c>
      <c r="F12" s="3" t="s">
        <v>5</v>
      </c>
      <c r="G12" s="7"/>
    </row>
    <row r="13" spans="1:7" ht="15.75" customHeight="1" x14ac:dyDescent="0.25">
      <c r="A13" s="2">
        <v>3</v>
      </c>
      <c r="B13" s="6">
        <v>4.9299999999999997E-2</v>
      </c>
      <c r="C13" s="7">
        <f t="shared" si="0"/>
        <v>1.0141987829614606E-2</v>
      </c>
      <c r="D13" s="7">
        <f t="shared" si="1"/>
        <v>1</v>
      </c>
      <c r="F13" s="3" t="s">
        <v>6</v>
      </c>
      <c r="G13" s="7"/>
    </row>
    <row r="14" spans="1:7" ht="15.75" customHeight="1" x14ac:dyDescent="0.25">
      <c r="A14" s="2">
        <v>4</v>
      </c>
      <c r="B14" s="6">
        <v>8.3799999999999999E-2</v>
      </c>
      <c r="C14" s="7">
        <f t="shared" si="0"/>
        <v>5.9665871121718375E-3</v>
      </c>
      <c r="D14" s="7">
        <f t="shared" si="1"/>
        <v>1</v>
      </c>
    </row>
    <row r="15" spans="1:7" ht="15.75" customHeight="1" x14ac:dyDescent="0.25">
      <c r="A15" s="2">
        <v>5</v>
      </c>
      <c r="B15" s="6">
        <v>0.13189999999999999</v>
      </c>
      <c r="C15" s="7">
        <f t="shared" si="0"/>
        <v>3.7907505686125857E-3</v>
      </c>
      <c r="D15" s="7">
        <f t="shared" si="1"/>
        <v>1</v>
      </c>
    </row>
    <row r="16" spans="1:7" ht="15.75" customHeight="1" x14ac:dyDescent="0.25">
      <c r="A16" s="2">
        <v>6</v>
      </c>
      <c r="B16" s="6">
        <v>0.19139999999999999</v>
      </c>
      <c r="C16" s="7">
        <f t="shared" si="0"/>
        <v>2.6123301985370951E-3</v>
      </c>
      <c r="D16" s="7">
        <f t="shared" si="1"/>
        <v>1</v>
      </c>
    </row>
    <row r="17" spans="1:4" ht="15.75" customHeight="1" x14ac:dyDescent="0.25">
      <c r="A17" s="2">
        <v>7</v>
      </c>
      <c r="B17" s="6">
        <v>0.23680000000000001</v>
      </c>
      <c r="C17" s="7">
        <f t="shared" si="0"/>
        <v>2.1114864864864866E-3</v>
      </c>
      <c r="D17" s="7">
        <f t="shared" si="1"/>
        <v>1</v>
      </c>
    </row>
    <row r="18" spans="1:4" ht="15.75" customHeight="1" x14ac:dyDescent="0.25">
      <c r="A18" s="2">
        <v>8</v>
      </c>
      <c r="B18" s="6">
        <v>2.6633</v>
      </c>
      <c r="C18" s="7">
        <f t="shared" si="0"/>
        <v>1.8773701798520634E-4</v>
      </c>
      <c r="D18" s="7">
        <f t="shared" si="1"/>
        <v>1</v>
      </c>
    </row>
    <row r="19" spans="1:4" ht="15.75" customHeight="1" x14ac:dyDescent="0.25">
      <c r="A19" s="2"/>
      <c r="B19" s="13"/>
      <c r="C19" s="7"/>
      <c r="D19" s="7"/>
    </row>
    <row r="20" spans="1:4" ht="15.75" customHeight="1" x14ac:dyDescent="0.25">
      <c r="A20" s="2"/>
      <c r="B20" s="7"/>
      <c r="C20" s="7"/>
      <c r="D20" s="7"/>
    </row>
    <row r="21" spans="1:4" ht="15.75" customHeight="1" x14ac:dyDescent="0.25">
      <c r="A21" s="2"/>
      <c r="B21" s="7"/>
      <c r="C21" s="7"/>
      <c r="D21" s="7"/>
    </row>
    <row r="22" spans="1:4" ht="15.75" customHeight="1" x14ac:dyDescent="0.25">
      <c r="A22" s="2"/>
      <c r="B22" s="7"/>
      <c r="C22" s="7"/>
      <c r="D22" s="7"/>
    </row>
    <row r="23" spans="1:4" ht="15.75" customHeight="1" x14ac:dyDescent="0.25">
      <c r="A23" s="2"/>
      <c r="B23" s="7"/>
      <c r="C23" s="7"/>
      <c r="D23" s="7"/>
    </row>
    <row r="24" spans="1:4" ht="15.75" customHeight="1" x14ac:dyDescent="0.25">
      <c r="A24" s="2"/>
      <c r="B24" s="7"/>
      <c r="C24" s="7"/>
      <c r="D24" s="7"/>
    </row>
    <row r="25" spans="1:4" ht="15.75" customHeight="1" x14ac:dyDescent="0.25">
      <c r="A25" s="2"/>
      <c r="B25" s="7"/>
      <c r="C25" s="7"/>
      <c r="D25" s="7"/>
    </row>
    <row r="26" spans="1:4" ht="15.75" customHeight="1" x14ac:dyDescent="0.25">
      <c r="A26" s="2"/>
      <c r="B26" s="7"/>
      <c r="C26" s="7"/>
      <c r="D26" s="7"/>
    </row>
    <row r="27" spans="1:4" ht="15.75" customHeight="1" x14ac:dyDescent="0.25">
      <c r="A27" s="2"/>
      <c r="B27" s="7"/>
      <c r="C27" s="7"/>
      <c r="D27" s="7"/>
    </row>
    <row r="28" spans="1:4" ht="15.75" customHeight="1" x14ac:dyDescent="0.25">
      <c r="A28" s="2"/>
      <c r="B28" s="7"/>
      <c r="C28" s="7"/>
      <c r="D28" s="7"/>
    </row>
    <row r="29" spans="1:4" ht="15.75" customHeight="1" x14ac:dyDescent="0.25">
      <c r="A29" s="2"/>
      <c r="B29" s="7"/>
      <c r="C29" s="13"/>
      <c r="D29" s="7"/>
    </row>
    <row r="30" spans="1:4" ht="15.75" customHeight="1" x14ac:dyDescent="0.25">
      <c r="A30" s="2"/>
      <c r="B30" s="7"/>
      <c r="C30" s="7"/>
      <c r="D30" s="7"/>
    </row>
    <row r="31" spans="1:4" ht="15.75" customHeight="1" x14ac:dyDescent="0.2">
      <c r="A31" s="7"/>
      <c r="B31" s="7"/>
      <c r="C31" s="7"/>
      <c r="D31" s="7"/>
    </row>
    <row r="32" spans="1:4" ht="15.75" customHeight="1" x14ac:dyDescent="0.2">
      <c r="A32" s="7"/>
      <c r="B32" s="7"/>
      <c r="C32" s="7"/>
      <c r="D32" s="7"/>
    </row>
    <row r="33" spans="1:7" ht="15.75" customHeight="1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 ht="15.75" customHeight="1" x14ac:dyDescent="0.2">
      <c r="A34" s="12" t="s">
        <v>14</v>
      </c>
      <c r="B34" s="12">
        <v>8</v>
      </c>
      <c r="C34" s="12">
        <v>2</v>
      </c>
      <c r="D34" s="7">
        <f t="shared" ref="D34:D36" si="2">1/((1-$F$11)+$F$11/B34)</f>
        <v>1</v>
      </c>
      <c r="E34" s="7">
        <f t="shared" ref="E34:E36" si="3">D34*C34</f>
        <v>2</v>
      </c>
      <c r="F34" s="9">
        <f>ROUND(($E$34/E34)*MIN($B$11:$B$30),1)</f>
        <v>0</v>
      </c>
      <c r="G34" s="10" t="s">
        <v>15</v>
      </c>
    </row>
    <row r="35" spans="1:7" ht="15.75" customHeight="1" x14ac:dyDescent="0.2">
      <c r="A35" s="12" t="s">
        <v>16</v>
      </c>
      <c r="B35" s="12">
        <v>8</v>
      </c>
      <c r="C35" s="12">
        <v>3.2</v>
      </c>
      <c r="D35" s="7">
        <f t="shared" si="2"/>
        <v>1</v>
      </c>
      <c r="E35" s="7">
        <f t="shared" si="3"/>
        <v>3.2</v>
      </c>
      <c r="F35" s="9">
        <f>ROUND(($E$34/E35)*MIN($B$11:$B$30),1)</f>
        <v>0</v>
      </c>
      <c r="G35" t="e">
        <f t="shared" ref="G35:G36" si="4">ROUND(100*((F34-F35)/F34),2)</f>
        <v>#DIV/0!</v>
      </c>
    </row>
    <row r="36" spans="1:7" ht="15.75" customHeight="1" x14ac:dyDescent="0.2">
      <c r="A36" s="12" t="s">
        <v>17</v>
      </c>
      <c r="B36" s="12">
        <v>12</v>
      </c>
      <c r="C36" s="12">
        <v>2.6</v>
      </c>
      <c r="D36" s="7">
        <f t="shared" si="2"/>
        <v>1</v>
      </c>
      <c r="E36" s="7">
        <f t="shared" si="3"/>
        <v>2.6</v>
      </c>
      <c r="F36" s="9">
        <f>ROUND(($E$34/E36)*MIN($B$11:$B$30),1)</f>
        <v>0</v>
      </c>
      <c r="G36" t="e">
        <f t="shared" si="4"/>
        <v>#DIV/0!</v>
      </c>
    </row>
    <row r="37" spans="1:7" ht="15.75" customHeight="1" x14ac:dyDescent="0.2">
      <c r="D37" s="7"/>
      <c r="E37" s="7"/>
    </row>
    <row r="38" spans="1:7" ht="15.75" customHeight="1" x14ac:dyDescent="0.2">
      <c r="C38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188A-DF0D-4D98-A1E4-3B5057F39A8A}">
  <sheetPr>
    <outlinePr summaryBelow="0" summaryRight="0"/>
  </sheetPr>
  <dimension ref="A1:G38"/>
  <sheetViews>
    <sheetView topLeftCell="A7" workbookViewId="0">
      <selection activeCell="F12" sqref="F12"/>
    </sheetView>
  </sheetViews>
  <sheetFormatPr defaultColWidth="14.42578125" defaultRowHeight="15.75" customHeight="1" x14ac:dyDescent="0.2"/>
  <cols>
    <col min="1" max="1" width="16.7109375" customWidth="1"/>
    <col min="2" max="2" width="18.140625" customWidth="1"/>
    <col min="3" max="3" width="17" customWidth="1"/>
    <col min="5" max="5" width="19.140625" customWidth="1"/>
  </cols>
  <sheetData>
    <row r="1" spans="1:7" ht="15.75" customHeight="1" x14ac:dyDescent="0.25">
      <c r="A1" s="1"/>
      <c r="B1" s="2"/>
      <c r="C1" s="2"/>
      <c r="D1" s="2"/>
      <c r="F1" s="2"/>
      <c r="G1" s="3"/>
    </row>
    <row r="2" spans="1:7" x14ac:dyDescent="0.25">
      <c r="A2" s="4"/>
      <c r="B2" s="2"/>
      <c r="C2" s="2"/>
      <c r="D2" s="2"/>
      <c r="F2" s="2"/>
      <c r="G2" s="3"/>
    </row>
    <row r="3" spans="1:7" ht="15.75" customHeight="1" x14ac:dyDescent="0.25">
      <c r="A3" s="5" t="s">
        <v>18</v>
      </c>
      <c r="B3" s="2"/>
      <c r="C3" s="2"/>
      <c r="D3" s="2"/>
      <c r="F3" s="2"/>
      <c r="G3" s="3"/>
    </row>
    <row r="4" spans="1:7" ht="15.75" customHeight="1" x14ac:dyDescent="0.25">
      <c r="A4" s="5" t="s">
        <v>19</v>
      </c>
      <c r="B4" s="2"/>
      <c r="C4" s="2"/>
      <c r="D4" s="2"/>
      <c r="F4" s="2"/>
      <c r="G4" s="3"/>
    </row>
    <row r="5" spans="1:7" ht="15.75" customHeight="1" x14ac:dyDescent="0.25">
      <c r="A5" s="5" t="s">
        <v>20</v>
      </c>
      <c r="B5" s="2"/>
      <c r="C5" s="2"/>
      <c r="D5" s="2"/>
      <c r="F5" s="2"/>
      <c r="G5" s="3"/>
    </row>
    <row r="6" spans="1:7" ht="15.75" customHeight="1" x14ac:dyDescent="0.25">
      <c r="A6" s="5" t="s">
        <v>22</v>
      </c>
      <c r="B6" s="2"/>
      <c r="C6" s="2"/>
      <c r="D6" s="2"/>
      <c r="F6" s="2"/>
      <c r="G6" s="3"/>
    </row>
    <row r="7" spans="1:7" ht="15.75" customHeight="1" x14ac:dyDescent="0.25">
      <c r="A7" s="5" t="s">
        <v>21</v>
      </c>
      <c r="B7" s="2"/>
      <c r="C7" s="2"/>
      <c r="D7" s="2"/>
      <c r="F7" s="2"/>
      <c r="G7" s="3"/>
    </row>
    <row r="8" spans="1:7" ht="15.75" customHeight="1" x14ac:dyDescent="0.25">
      <c r="A8" s="11"/>
      <c r="B8" s="2"/>
      <c r="C8" s="2"/>
      <c r="D8" s="2"/>
      <c r="F8" s="2"/>
      <c r="G8" s="3"/>
    </row>
    <row r="9" spans="1:7" ht="15.75" customHeight="1" x14ac:dyDescent="0.25">
      <c r="A9" s="2"/>
      <c r="B9" s="2"/>
      <c r="C9" s="2"/>
      <c r="D9" s="2"/>
      <c r="F9" s="2"/>
      <c r="G9" s="3"/>
    </row>
    <row r="10" spans="1:7" ht="15.75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F10" s="2" t="s">
        <v>4</v>
      </c>
      <c r="G10" s="3"/>
    </row>
    <row r="11" spans="1:7" ht="15.75" customHeight="1" x14ac:dyDescent="0.25">
      <c r="A11" s="2">
        <v>1</v>
      </c>
      <c r="B11" s="6">
        <v>1.6E-2</v>
      </c>
      <c r="C11" s="7">
        <f t="shared" ref="C11:C18" si="0">B$11/B11</f>
        <v>1</v>
      </c>
      <c r="D11" s="7">
        <f t="shared" ref="D11:D18" si="1">1/((1-F$11)+F$11/$A11)</f>
        <v>1</v>
      </c>
      <c r="F11" s="8">
        <v>0</v>
      </c>
      <c r="G11" s="3"/>
    </row>
    <row r="12" spans="1:7" ht="15.75" customHeight="1" x14ac:dyDescent="0.25">
      <c r="A12" s="2">
        <v>2</v>
      </c>
      <c r="B12" s="6">
        <v>4.0500000000000001E-2</v>
      </c>
      <c r="C12" s="7">
        <f t="shared" si="0"/>
        <v>0.39506172839506171</v>
      </c>
      <c r="D12" s="7">
        <f t="shared" si="1"/>
        <v>1</v>
      </c>
      <c r="F12" s="3" t="s">
        <v>5</v>
      </c>
      <c r="G12" s="7"/>
    </row>
    <row r="13" spans="1:7" ht="15.75" customHeight="1" x14ac:dyDescent="0.25">
      <c r="A13" s="2">
        <v>3</v>
      </c>
      <c r="B13" s="6">
        <v>5.0999999999999997E-2</v>
      </c>
      <c r="C13" s="7">
        <f t="shared" si="0"/>
        <v>0.31372549019607848</v>
      </c>
      <c r="D13" s="7">
        <f t="shared" si="1"/>
        <v>1</v>
      </c>
      <c r="F13" s="3" t="s">
        <v>6</v>
      </c>
      <c r="G13" s="7"/>
    </row>
    <row r="14" spans="1:7" ht="15.75" customHeight="1" x14ac:dyDescent="0.25">
      <c r="A14" s="2">
        <v>4</v>
      </c>
      <c r="B14" s="6">
        <v>0.107</v>
      </c>
      <c r="C14" s="7">
        <f t="shared" si="0"/>
        <v>0.14953271028037385</v>
      </c>
      <c r="D14" s="7">
        <f t="shared" si="1"/>
        <v>1</v>
      </c>
    </row>
    <row r="15" spans="1:7" ht="15.75" customHeight="1" x14ac:dyDescent="0.25">
      <c r="A15" s="2">
        <v>5</v>
      </c>
      <c r="B15" s="6">
        <v>8.9200000000000002E-2</v>
      </c>
      <c r="C15" s="7">
        <f t="shared" si="0"/>
        <v>0.17937219730941703</v>
      </c>
      <c r="D15" s="7">
        <f t="shared" si="1"/>
        <v>1</v>
      </c>
    </row>
    <row r="16" spans="1:7" ht="15.75" customHeight="1" x14ac:dyDescent="0.25">
      <c r="A16" s="2">
        <v>6</v>
      </c>
      <c r="B16" s="6">
        <v>0.10829999999999999</v>
      </c>
      <c r="C16" s="7">
        <f t="shared" si="0"/>
        <v>0.14773776546629733</v>
      </c>
      <c r="D16" s="7">
        <f t="shared" si="1"/>
        <v>1</v>
      </c>
    </row>
    <row r="17" spans="1:4" ht="15.75" customHeight="1" x14ac:dyDescent="0.25">
      <c r="A17" s="2">
        <v>7</v>
      </c>
      <c r="B17" s="6">
        <v>0.23419999999999999</v>
      </c>
      <c r="C17" s="7">
        <f t="shared" si="0"/>
        <v>6.8317677198975232E-2</v>
      </c>
      <c r="D17" s="7">
        <f t="shared" si="1"/>
        <v>1</v>
      </c>
    </row>
    <row r="18" spans="1:4" ht="15.75" customHeight="1" x14ac:dyDescent="0.25">
      <c r="A18" s="2">
        <v>8</v>
      </c>
      <c r="B18" s="6">
        <v>0.37709999999999999</v>
      </c>
      <c r="C18" s="7">
        <f t="shared" si="0"/>
        <v>4.2429063908777515E-2</v>
      </c>
      <c r="D18" s="7">
        <f t="shared" si="1"/>
        <v>1</v>
      </c>
    </row>
    <row r="21" spans="1:4" ht="15.75" customHeight="1" x14ac:dyDescent="0.25">
      <c r="A21" s="2"/>
      <c r="B21" s="7"/>
      <c r="C21" s="7"/>
      <c r="D21" s="7"/>
    </row>
    <row r="22" spans="1:4" ht="15.75" customHeight="1" x14ac:dyDescent="0.25">
      <c r="A22" s="2"/>
      <c r="B22" s="7"/>
      <c r="C22" s="7"/>
      <c r="D22" s="7"/>
    </row>
    <row r="23" spans="1:4" ht="15.75" customHeight="1" x14ac:dyDescent="0.25">
      <c r="A23" s="2"/>
      <c r="B23" s="7"/>
      <c r="C23" s="7"/>
      <c r="D23" s="7"/>
    </row>
    <row r="24" spans="1:4" ht="15.75" customHeight="1" x14ac:dyDescent="0.25">
      <c r="A24" s="2"/>
      <c r="B24" s="7"/>
      <c r="C24" s="7"/>
      <c r="D24" s="7"/>
    </row>
    <row r="25" spans="1:4" ht="15.75" customHeight="1" x14ac:dyDescent="0.25">
      <c r="A25" s="2"/>
      <c r="B25" s="7"/>
      <c r="C25" s="7"/>
      <c r="D25" s="7"/>
    </row>
    <row r="26" spans="1:4" ht="15.75" customHeight="1" x14ac:dyDescent="0.25">
      <c r="A26" s="2"/>
      <c r="B26" s="7"/>
      <c r="C26" s="7"/>
      <c r="D26" s="7"/>
    </row>
    <row r="27" spans="1:4" ht="15.75" customHeight="1" x14ac:dyDescent="0.25">
      <c r="A27" s="2"/>
      <c r="B27" s="7"/>
      <c r="C27" s="7"/>
      <c r="D27" s="7"/>
    </row>
    <row r="28" spans="1:4" ht="15.75" customHeight="1" x14ac:dyDescent="0.25">
      <c r="A28" s="2"/>
      <c r="B28" s="7"/>
      <c r="C28" s="7"/>
      <c r="D28" s="7"/>
    </row>
    <row r="29" spans="1:4" ht="15.75" customHeight="1" x14ac:dyDescent="0.25">
      <c r="A29" s="2"/>
      <c r="B29" s="7"/>
      <c r="C29" s="7"/>
      <c r="D29" s="7"/>
    </row>
    <row r="30" spans="1:4" ht="15.75" customHeight="1" x14ac:dyDescent="0.25">
      <c r="A30" s="2"/>
      <c r="B30" s="7"/>
      <c r="C30" s="7"/>
      <c r="D30" s="7"/>
    </row>
    <row r="31" spans="1:4" ht="15.75" customHeight="1" x14ac:dyDescent="0.2">
      <c r="A31" s="7"/>
      <c r="B31" s="7"/>
      <c r="C31" s="7"/>
      <c r="D31" s="7"/>
    </row>
    <row r="32" spans="1:4" ht="15.75" customHeight="1" x14ac:dyDescent="0.2">
      <c r="A32" s="7"/>
      <c r="B32" s="7"/>
      <c r="C32" s="7"/>
      <c r="D32" s="7"/>
    </row>
    <row r="33" spans="1:7" ht="15.75" customHeight="1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 ht="15.75" customHeight="1" x14ac:dyDescent="0.2">
      <c r="A34" s="15" t="s">
        <v>14</v>
      </c>
      <c r="B34" s="12">
        <v>8</v>
      </c>
      <c r="C34" s="12">
        <v>2</v>
      </c>
      <c r="D34" s="7">
        <f t="shared" ref="D34:D36" si="2">1/((1-$F$11)+$F$11/B34)</f>
        <v>1</v>
      </c>
      <c r="E34" s="7">
        <f t="shared" ref="E34:E36" si="3">D34*C34</f>
        <v>2</v>
      </c>
      <c r="F34" s="9">
        <f>ROUND(($E$34/E34)*MIN($B$11:$B$30),1)</f>
        <v>0</v>
      </c>
      <c r="G34" s="10" t="s">
        <v>15</v>
      </c>
    </row>
    <row r="35" spans="1:7" ht="15.75" customHeight="1" x14ac:dyDescent="0.2">
      <c r="A35" s="12" t="s">
        <v>16</v>
      </c>
      <c r="B35" s="12">
        <v>8</v>
      </c>
      <c r="C35" s="12">
        <v>3.2</v>
      </c>
      <c r="D35" s="7">
        <f t="shared" si="2"/>
        <v>1</v>
      </c>
      <c r="E35" s="7">
        <f t="shared" si="3"/>
        <v>3.2</v>
      </c>
      <c r="F35" s="9">
        <f>ROUND(($E$34/E35)*MIN($B$11:$B$30),1)</f>
        <v>0</v>
      </c>
      <c r="G35" t="e">
        <f t="shared" ref="G35:G36" si="4">ROUND(100*((F34-F35)/F34),2)</f>
        <v>#DIV/0!</v>
      </c>
    </row>
    <row r="36" spans="1:7" ht="15.75" customHeight="1" x14ac:dyDescent="0.2">
      <c r="A36" s="12" t="s">
        <v>17</v>
      </c>
      <c r="B36" s="12">
        <v>12</v>
      </c>
      <c r="C36" s="12">
        <v>2.6</v>
      </c>
      <c r="D36" s="7">
        <f t="shared" si="2"/>
        <v>1</v>
      </c>
      <c r="E36" s="7">
        <f t="shared" si="3"/>
        <v>2.6</v>
      </c>
      <c r="F36" s="9">
        <f>ROUND(($E$34/E36)*MIN($B$11:$B$30),1)</f>
        <v>0</v>
      </c>
      <c r="G36" t="e">
        <f t="shared" si="4"/>
        <v>#DIV/0!</v>
      </c>
    </row>
    <row r="37" spans="1:7" ht="15.75" customHeight="1" x14ac:dyDescent="0.2">
      <c r="D37" s="7"/>
      <c r="E37" s="7"/>
    </row>
    <row r="38" spans="1:7" ht="15.75" customHeight="1" x14ac:dyDescent="0.2">
      <c r="C38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3376-7CF9-4231-9E85-0013D16FF48B}">
  <sheetPr>
    <outlinePr summaryBelow="0" summaryRight="0"/>
  </sheetPr>
  <dimension ref="A1:G38"/>
  <sheetViews>
    <sheetView topLeftCell="A4" workbookViewId="0">
      <selection activeCell="F12" sqref="F12"/>
    </sheetView>
  </sheetViews>
  <sheetFormatPr defaultColWidth="14.42578125" defaultRowHeight="15.75" customHeight="1" x14ac:dyDescent="0.2"/>
  <cols>
    <col min="1" max="1" width="16.7109375" customWidth="1"/>
    <col min="2" max="2" width="18.140625" customWidth="1"/>
    <col min="3" max="3" width="17" customWidth="1"/>
    <col min="5" max="5" width="19.140625" customWidth="1"/>
  </cols>
  <sheetData>
    <row r="1" spans="1:7" ht="15.75" customHeight="1" x14ac:dyDescent="0.25">
      <c r="A1" s="1"/>
      <c r="B1" s="2"/>
      <c r="C1" s="2"/>
      <c r="D1" s="2"/>
      <c r="F1" s="2"/>
      <c r="G1" s="3"/>
    </row>
    <row r="2" spans="1:7" x14ac:dyDescent="0.25">
      <c r="A2" s="4"/>
      <c r="B2" s="2"/>
      <c r="C2" s="2"/>
      <c r="D2" s="2"/>
      <c r="F2" s="2"/>
      <c r="G2" s="3"/>
    </row>
    <row r="3" spans="1:7" ht="15.75" customHeight="1" x14ac:dyDescent="0.25">
      <c r="A3" s="5" t="s">
        <v>18</v>
      </c>
      <c r="B3" s="2"/>
      <c r="C3" s="2"/>
      <c r="D3" s="2"/>
      <c r="F3" s="2"/>
      <c r="G3" s="3"/>
    </row>
    <row r="4" spans="1:7" ht="15.75" customHeight="1" x14ac:dyDescent="0.25">
      <c r="A4" s="5" t="s">
        <v>19</v>
      </c>
      <c r="B4" s="2"/>
      <c r="C4" s="2"/>
      <c r="D4" s="2"/>
      <c r="F4" s="2"/>
      <c r="G4" s="3"/>
    </row>
    <row r="5" spans="1:7" ht="15.75" customHeight="1" x14ac:dyDescent="0.25">
      <c r="A5" s="5" t="s">
        <v>20</v>
      </c>
      <c r="B5" s="2"/>
      <c r="C5" s="2"/>
      <c r="D5" s="2"/>
      <c r="F5" s="2"/>
      <c r="G5" s="3"/>
    </row>
    <row r="6" spans="1:7" ht="15.75" customHeight="1" x14ac:dyDescent="0.25">
      <c r="A6" s="5" t="s">
        <v>22</v>
      </c>
      <c r="B6" s="2"/>
      <c r="C6" s="2"/>
      <c r="D6" s="2"/>
      <c r="F6" s="2"/>
      <c r="G6" s="3"/>
    </row>
    <row r="7" spans="1:7" ht="15.75" customHeight="1" x14ac:dyDescent="0.25">
      <c r="A7" s="5" t="s">
        <v>21</v>
      </c>
      <c r="B7" s="2"/>
      <c r="C7" s="2"/>
      <c r="D7" s="2"/>
      <c r="F7" s="2"/>
      <c r="G7" s="3"/>
    </row>
    <row r="8" spans="1:7" ht="15.75" customHeight="1" x14ac:dyDescent="0.25">
      <c r="A8" s="11"/>
      <c r="B8" s="2"/>
      <c r="C8" s="2"/>
      <c r="D8" s="2"/>
      <c r="F8" s="2"/>
      <c r="G8" s="3"/>
    </row>
    <row r="9" spans="1:7" ht="15.75" customHeight="1" x14ac:dyDescent="0.25">
      <c r="A9" s="2"/>
      <c r="B9" s="2"/>
      <c r="C9" s="2"/>
      <c r="D9" s="2"/>
      <c r="F9" s="2"/>
      <c r="G9" s="3"/>
    </row>
    <row r="10" spans="1:7" ht="15.75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F10" s="2" t="s">
        <v>4</v>
      </c>
      <c r="G10" s="3"/>
    </row>
    <row r="11" spans="1:7" ht="15.75" customHeight="1" x14ac:dyDescent="0.25">
      <c r="A11" s="2">
        <v>1</v>
      </c>
      <c r="B11" s="6">
        <v>0.31819999999999998</v>
      </c>
      <c r="C11" s="7">
        <f t="shared" ref="C11:C18" si="0">B$11/B11</f>
        <v>1</v>
      </c>
      <c r="D11" s="7">
        <f t="shared" ref="D11:D18" si="1">1/((1-F$11)+F$11/$A11)</f>
        <v>1</v>
      </c>
      <c r="F11" s="8">
        <v>0.56999999999999995</v>
      </c>
      <c r="G11" s="3"/>
    </row>
    <row r="12" spans="1:7" ht="15.75" customHeight="1" x14ac:dyDescent="0.25">
      <c r="A12" s="2">
        <v>2</v>
      </c>
      <c r="B12" s="6">
        <v>0.20949999999999999</v>
      </c>
      <c r="C12" s="7">
        <f t="shared" si="0"/>
        <v>1.518854415274463</v>
      </c>
      <c r="D12" s="7">
        <f t="shared" si="1"/>
        <v>1.3986013986013985</v>
      </c>
      <c r="F12" s="3" t="s">
        <v>5</v>
      </c>
      <c r="G12" s="7"/>
    </row>
    <row r="13" spans="1:7" ht="15.75" customHeight="1" x14ac:dyDescent="0.25">
      <c r="A13" s="2">
        <v>3</v>
      </c>
      <c r="B13" s="6">
        <v>0.20380000000000001</v>
      </c>
      <c r="C13" s="7">
        <f t="shared" si="0"/>
        <v>1.5613346418056917</v>
      </c>
      <c r="D13" s="7">
        <f t="shared" si="1"/>
        <v>1.6129032258064517</v>
      </c>
      <c r="F13" s="3" t="s">
        <v>6</v>
      </c>
      <c r="G13" s="7"/>
    </row>
    <row r="14" spans="1:7" ht="15.75" customHeight="1" x14ac:dyDescent="0.25">
      <c r="A14" s="2">
        <v>4</v>
      </c>
      <c r="B14" s="6">
        <v>0.1857</v>
      </c>
      <c r="C14" s="7">
        <f t="shared" si="0"/>
        <v>1.7135164243403338</v>
      </c>
      <c r="D14" s="7">
        <f t="shared" si="1"/>
        <v>1.7467248908296944</v>
      </c>
    </row>
    <row r="15" spans="1:7" ht="15.75" customHeight="1" x14ac:dyDescent="0.25">
      <c r="A15" s="2">
        <v>5</v>
      </c>
      <c r="B15" s="6">
        <v>0.17299999999999999</v>
      </c>
      <c r="C15" s="7">
        <f t="shared" si="0"/>
        <v>1.839306358381503</v>
      </c>
      <c r="D15" s="7">
        <f t="shared" si="1"/>
        <v>1.838235294117647</v>
      </c>
    </row>
    <row r="16" spans="1:7" ht="15.75" customHeight="1" x14ac:dyDescent="0.25">
      <c r="A16" s="2">
        <v>6</v>
      </c>
      <c r="B16" s="6">
        <v>0.16800000000000001</v>
      </c>
      <c r="C16" s="7">
        <f t="shared" si="0"/>
        <v>1.8940476190476188</v>
      </c>
      <c r="D16" s="7">
        <f t="shared" si="1"/>
        <v>1.9047619047619047</v>
      </c>
    </row>
    <row r="17" spans="1:4" ht="15.75" customHeight="1" x14ac:dyDescent="0.25">
      <c r="A17" s="2">
        <v>7</v>
      </c>
      <c r="B17" s="6">
        <v>0.1895</v>
      </c>
      <c r="C17" s="7">
        <f t="shared" si="0"/>
        <v>1.6791556728232189</v>
      </c>
      <c r="D17" s="7">
        <f t="shared" si="1"/>
        <v>1.9553072625698322</v>
      </c>
    </row>
    <row r="18" spans="1:4" ht="15.75" customHeight="1" x14ac:dyDescent="0.25">
      <c r="A18" s="2">
        <v>8</v>
      </c>
      <c r="B18" s="6">
        <v>0.38040000000000002</v>
      </c>
      <c r="C18" s="7">
        <f t="shared" si="0"/>
        <v>0.83648790746582535</v>
      </c>
      <c r="D18" s="7">
        <f t="shared" si="1"/>
        <v>1.9950124688279298</v>
      </c>
    </row>
    <row r="21" spans="1:4" ht="15.75" customHeight="1" x14ac:dyDescent="0.25">
      <c r="A21" s="2"/>
      <c r="B21" s="7"/>
      <c r="C21" s="7"/>
      <c r="D21" s="7"/>
    </row>
    <row r="22" spans="1:4" ht="15.75" customHeight="1" x14ac:dyDescent="0.25">
      <c r="A22" s="2"/>
      <c r="B22" s="7"/>
      <c r="C22" s="7"/>
      <c r="D22" s="7"/>
    </row>
    <row r="23" spans="1:4" ht="15.75" customHeight="1" x14ac:dyDescent="0.25">
      <c r="A23" s="2"/>
      <c r="B23" s="7"/>
      <c r="C23" s="7"/>
      <c r="D23" s="7"/>
    </row>
    <row r="24" spans="1:4" ht="15.75" customHeight="1" x14ac:dyDescent="0.25">
      <c r="A24" s="2"/>
      <c r="B24" s="7"/>
      <c r="C24" s="7"/>
      <c r="D24" s="7"/>
    </row>
    <row r="25" spans="1:4" ht="15.75" customHeight="1" x14ac:dyDescent="0.25">
      <c r="A25" s="2"/>
      <c r="B25" s="7"/>
      <c r="C25" s="7"/>
      <c r="D25" s="7"/>
    </row>
    <row r="26" spans="1:4" ht="15.75" customHeight="1" x14ac:dyDescent="0.25">
      <c r="A26" s="2"/>
      <c r="B26" s="7"/>
      <c r="C26" s="7"/>
      <c r="D26" s="7"/>
    </row>
    <row r="27" spans="1:4" ht="15.75" customHeight="1" x14ac:dyDescent="0.25">
      <c r="A27" s="2"/>
      <c r="B27" s="7"/>
      <c r="C27" s="7"/>
      <c r="D27" s="7"/>
    </row>
    <row r="28" spans="1:4" ht="15.75" customHeight="1" x14ac:dyDescent="0.25">
      <c r="A28" s="2"/>
      <c r="B28" s="7"/>
      <c r="C28" s="7"/>
      <c r="D28" s="7"/>
    </row>
    <row r="29" spans="1:4" ht="15.75" customHeight="1" x14ac:dyDescent="0.25">
      <c r="A29" s="2"/>
      <c r="B29" s="7"/>
      <c r="C29" s="7"/>
      <c r="D29" s="7"/>
    </row>
    <row r="30" spans="1:4" ht="15.75" customHeight="1" x14ac:dyDescent="0.25">
      <c r="A30" s="2"/>
      <c r="B30" s="7"/>
      <c r="C30" s="7"/>
      <c r="D30" s="7"/>
    </row>
    <row r="31" spans="1:4" ht="15.75" customHeight="1" x14ac:dyDescent="0.2">
      <c r="A31" s="7"/>
      <c r="B31" s="7"/>
      <c r="C31" s="7"/>
      <c r="D31" s="7"/>
    </row>
    <row r="32" spans="1:4" ht="15.75" customHeight="1" x14ac:dyDescent="0.2">
      <c r="A32" s="7"/>
      <c r="B32" s="7"/>
      <c r="C32" s="7"/>
      <c r="D32" s="7"/>
    </row>
    <row r="33" spans="1:7" ht="15.75" customHeight="1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 ht="15.75" customHeight="1" x14ac:dyDescent="0.2">
      <c r="A34" s="14" t="s">
        <v>14</v>
      </c>
      <c r="B34" s="14">
        <v>8</v>
      </c>
      <c r="C34" s="14">
        <v>2</v>
      </c>
      <c r="D34" s="7">
        <f t="shared" ref="D34:D36" si="2">1/((1-$F$11)+$F$11/B34)</f>
        <v>1.9950124688279298</v>
      </c>
      <c r="E34" s="7">
        <f t="shared" ref="E34:E36" si="3">D34*C34</f>
        <v>3.9900249376558596</v>
      </c>
      <c r="F34" s="9">
        <f t="shared" ref="F34:F36" si="4">ROUND(($E$34/E34)*MIN($B$11:$B$30),1)</f>
        <v>0.2</v>
      </c>
      <c r="G34" s="10" t="s">
        <v>15</v>
      </c>
    </row>
    <row r="35" spans="1:7" ht="15.75" customHeight="1" x14ac:dyDescent="0.2">
      <c r="A35" s="12" t="s">
        <v>16</v>
      </c>
      <c r="B35" s="12">
        <v>8</v>
      </c>
      <c r="C35" s="12">
        <v>3.2</v>
      </c>
      <c r="D35" s="7">
        <f t="shared" si="2"/>
        <v>1.9950124688279298</v>
      </c>
      <c r="E35" s="7">
        <f t="shared" si="3"/>
        <v>6.384039900249376</v>
      </c>
      <c r="F35" s="9">
        <f t="shared" si="4"/>
        <v>0.1</v>
      </c>
      <c r="G35">
        <f t="shared" ref="G35:G36" si="5">ROUND(100*((F34-F35)/F34),2)</f>
        <v>50</v>
      </c>
    </row>
    <row r="36" spans="1:7" ht="15.75" customHeight="1" x14ac:dyDescent="0.2">
      <c r="A36" s="12" t="s">
        <v>17</v>
      </c>
      <c r="B36" s="12">
        <v>12</v>
      </c>
      <c r="C36" s="12">
        <v>2.6</v>
      </c>
      <c r="D36" s="7">
        <f t="shared" si="2"/>
        <v>2.0942408376963351</v>
      </c>
      <c r="E36" s="7">
        <f t="shared" si="3"/>
        <v>5.4450261780104716</v>
      </c>
      <c r="F36" s="9">
        <f t="shared" si="4"/>
        <v>0.1</v>
      </c>
      <c r="G36">
        <f t="shared" si="5"/>
        <v>0</v>
      </c>
    </row>
    <row r="37" spans="1:7" ht="15.75" customHeight="1" x14ac:dyDescent="0.2">
      <c r="D37" s="7"/>
      <c r="E37" s="7"/>
    </row>
    <row r="38" spans="1:7" ht="15.75" customHeight="1" x14ac:dyDescent="0.2">
      <c r="C38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1137-7B53-4241-9C55-9A26B24F09FE}">
  <sheetPr>
    <outlinePr summaryBelow="0" summaryRight="0"/>
  </sheetPr>
  <dimension ref="A1:G38"/>
  <sheetViews>
    <sheetView topLeftCell="A6" workbookViewId="0">
      <selection activeCell="F12" sqref="F12"/>
    </sheetView>
  </sheetViews>
  <sheetFormatPr defaultColWidth="14.42578125" defaultRowHeight="15.75" customHeight="1" x14ac:dyDescent="0.2"/>
  <cols>
    <col min="1" max="1" width="16.7109375" customWidth="1"/>
    <col min="2" max="2" width="18.140625" customWidth="1"/>
    <col min="3" max="3" width="17" customWidth="1"/>
    <col min="5" max="5" width="19.140625" customWidth="1"/>
  </cols>
  <sheetData>
    <row r="1" spans="1:7" ht="15.75" customHeight="1" x14ac:dyDescent="0.25">
      <c r="A1" s="1"/>
      <c r="B1" s="2"/>
      <c r="C1" s="2"/>
      <c r="D1" s="2"/>
      <c r="F1" s="2"/>
      <c r="G1" s="3"/>
    </row>
    <row r="2" spans="1:7" x14ac:dyDescent="0.25">
      <c r="A2" s="4"/>
      <c r="B2" s="2"/>
      <c r="C2" s="2"/>
      <c r="D2" s="2"/>
      <c r="F2" s="2"/>
      <c r="G2" s="3"/>
    </row>
    <row r="3" spans="1:7" ht="15.75" customHeight="1" x14ac:dyDescent="0.25">
      <c r="A3" s="5" t="s">
        <v>18</v>
      </c>
      <c r="B3" s="2"/>
      <c r="C3" s="2"/>
      <c r="D3" s="2"/>
      <c r="F3" s="2"/>
      <c r="G3" s="3"/>
    </row>
    <row r="4" spans="1:7" ht="15.75" customHeight="1" x14ac:dyDescent="0.25">
      <c r="A4" s="5" t="s">
        <v>19</v>
      </c>
      <c r="B4" s="2"/>
      <c r="C4" s="2"/>
      <c r="D4" s="2"/>
      <c r="F4" s="2"/>
      <c r="G4" s="3"/>
    </row>
    <row r="5" spans="1:7" ht="15.75" customHeight="1" x14ac:dyDescent="0.25">
      <c r="A5" s="5" t="s">
        <v>20</v>
      </c>
      <c r="B5" s="2"/>
      <c r="C5" s="2"/>
      <c r="D5" s="2"/>
      <c r="F5" s="2"/>
      <c r="G5" s="3"/>
    </row>
    <row r="6" spans="1:7" ht="15.75" customHeight="1" x14ac:dyDescent="0.25">
      <c r="A6" s="5" t="s">
        <v>22</v>
      </c>
      <c r="B6" s="2"/>
      <c r="C6" s="2"/>
      <c r="D6" s="2"/>
      <c r="F6" s="2"/>
      <c r="G6" s="3"/>
    </row>
    <row r="7" spans="1:7" ht="15.75" customHeight="1" x14ac:dyDescent="0.25">
      <c r="A7" s="5" t="s">
        <v>21</v>
      </c>
      <c r="B7" s="2"/>
      <c r="C7" s="2"/>
      <c r="D7" s="2"/>
      <c r="F7" s="2"/>
      <c r="G7" s="3"/>
    </row>
    <row r="8" spans="1:7" ht="15.75" customHeight="1" x14ac:dyDescent="0.25">
      <c r="A8" s="11"/>
      <c r="B8" s="2"/>
      <c r="C8" s="2"/>
      <c r="D8" s="2"/>
      <c r="F8" s="2"/>
      <c r="G8" s="3"/>
    </row>
    <row r="9" spans="1:7" ht="15.75" customHeight="1" x14ac:dyDescent="0.25">
      <c r="A9" s="2"/>
      <c r="B9" s="2"/>
      <c r="C9" s="2"/>
      <c r="D9" s="2"/>
      <c r="F9" s="2"/>
      <c r="G9" s="3"/>
    </row>
    <row r="10" spans="1:7" ht="15.75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F10" s="2" t="s">
        <v>4</v>
      </c>
      <c r="G10" s="3"/>
    </row>
    <row r="11" spans="1:7" ht="15.75" customHeight="1" x14ac:dyDescent="0.25">
      <c r="A11" s="2">
        <v>1</v>
      </c>
      <c r="B11" s="6">
        <v>1.6171</v>
      </c>
      <c r="C11" s="7">
        <f t="shared" ref="C11:C18" si="0">B$11/B11</f>
        <v>1</v>
      </c>
      <c r="D11" s="7">
        <f t="shared" ref="D11:D18" si="1">1/((1-F$11)+F$11/$A11)</f>
        <v>1</v>
      </c>
      <c r="F11" s="8">
        <v>0.7</v>
      </c>
      <c r="G11" s="3"/>
    </row>
    <row r="12" spans="1:7" ht="15.75" customHeight="1" x14ac:dyDescent="0.25">
      <c r="A12" s="2">
        <v>2</v>
      </c>
      <c r="B12" s="6">
        <v>1.2410000000000001</v>
      </c>
      <c r="C12" s="7">
        <f t="shared" si="0"/>
        <v>1.3030620467365026</v>
      </c>
      <c r="D12" s="7">
        <f t="shared" si="1"/>
        <v>1.5384615384615383</v>
      </c>
      <c r="F12" s="3" t="s">
        <v>5</v>
      </c>
      <c r="G12" s="7"/>
    </row>
    <row r="13" spans="1:7" ht="15.75" customHeight="1" x14ac:dyDescent="0.25">
      <c r="A13" s="2">
        <v>3</v>
      </c>
      <c r="B13" s="6">
        <v>0.77539999999999998</v>
      </c>
      <c r="C13" s="7">
        <f t="shared" si="0"/>
        <v>2.0855042558679391</v>
      </c>
      <c r="D13" s="7">
        <f t="shared" si="1"/>
        <v>1.875</v>
      </c>
      <c r="F13" s="3" t="s">
        <v>6</v>
      </c>
      <c r="G13" s="7"/>
    </row>
    <row r="14" spans="1:7" ht="15.75" customHeight="1" x14ac:dyDescent="0.25">
      <c r="A14" s="2">
        <v>4</v>
      </c>
      <c r="B14" s="6">
        <v>0.75139999999999996</v>
      </c>
      <c r="C14" s="7">
        <f t="shared" si="0"/>
        <v>2.1521160500399255</v>
      </c>
      <c r="D14" s="7">
        <f t="shared" si="1"/>
        <v>2.1052631578947367</v>
      </c>
    </row>
    <row r="15" spans="1:7" ht="15.75" customHeight="1" x14ac:dyDescent="0.25">
      <c r="A15" s="2">
        <v>5</v>
      </c>
      <c r="B15" s="6">
        <v>0.75229999999999997</v>
      </c>
      <c r="C15" s="7">
        <f t="shared" si="0"/>
        <v>2.149541406353848</v>
      </c>
      <c r="D15" s="7">
        <f t="shared" si="1"/>
        <v>2.2727272727272725</v>
      </c>
    </row>
    <row r="16" spans="1:7" ht="15.75" customHeight="1" x14ac:dyDescent="0.25">
      <c r="A16" s="2">
        <v>6</v>
      </c>
      <c r="B16" s="6">
        <v>0.8569</v>
      </c>
      <c r="C16" s="7">
        <f t="shared" si="0"/>
        <v>1.887151359551873</v>
      </c>
      <c r="D16" s="7">
        <f t="shared" si="1"/>
        <v>2.4</v>
      </c>
    </row>
    <row r="17" spans="1:4" ht="15.75" customHeight="1" x14ac:dyDescent="0.25">
      <c r="A17" s="2">
        <v>7</v>
      </c>
      <c r="B17" s="6">
        <v>1.2977000000000001</v>
      </c>
      <c r="C17" s="7">
        <f t="shared" si="0"/>
        <v>1.2461277645064344</v>
      </c>
      <c r="D17" s="7">
        <f t="shared" si="1"/>
        <v>2.5</v>
      </c>
    </row>
    <row r="18" spans="1:4" ht="15.75" customHeight="1" x14ac:dyDescent="0.25">
      <c r="A18" s="2">
        <v>8</v>
      </c>
      <c r="B18" s="6">
        <v>0.70309999999999995</v>
      </c>
      <c r="C18" s="7">
        <f t="shared" si="0"/>
        <v>2.2999573318162425</v>
      </c>
      <c r="D18" s="7">
        <f t="shared" si="1"/>
        <v>2.5806451612903221</v>
      </c>
    </row>
    <row r="21" spans="1:4" ht="15.75" customHeight="1" x14ac:dyDescent="0.25">
      <c r="A21" s="2"/>
      <c r="B21" s="7"/>
      <c r="C21" s="7"/>
      <c r="D21" s="7"/>
    </row>
    <row r="22" spans="1:4" ht="15.75" customHeight="1" x14ac:dyDescent="0.25">
      <c r="A22" s="2"/>
      <c r="B22" s="7"/>
      <c r="C22" s="7"/>
      <c r="D22" s="7"/>
    </row>
    <row r="23" spans="1:4" ht="15.75" customHeight="1" x14ac:dyDescent="0.25">
      <c r="A23" s="2"/>
      <c r="B23" s="7"/>
      <c r="C23" s="7"/>
      <c r="D23" s="7"/>
    </row>
    <row r="24" spans="1:4" ht="15.75" customHeight="1" x14ac:dyDescent="0.25">
      <c r="A24" s="2"/>
      <c r="B24" s="7"/>
      <c r="C24" s="7"/>
      <c r="D24" s="7"/>
    </row>
    <row r="25" spans="1:4" ht="15.75" customHeight="1" x14ac:dyDescent="0.25">
      <c r="A25" s="2"/>
      <c r="B25" s="7"/>
      <c r="C25" s="7"/>
      <c r="D25" s="7"/>
    </row>
    <row r="26" spans="1:4" ht="15.75" customHeight="1" x14ac:dyDescent="0.25">
      <c r="A26" s="2"/>
      <c r="B26" s="7"/>
      <c r="C26" s="7"/>
      <c r="D26" s="7"/>
    </row>
    <row r="27" spans="1:4" ht="15.75" customHeight="1" x14ac:dyDescent="0.25">
      <c r="A27" s="2"/>
      <c r="B27" s="7"/>
      <c r="C27" s="7"/>
      <c r="D27" s="7"/>
    </row>
    <row r="28" spans="1:4" ht="15.75" customHeight="1" x14ac:dyDescent="0.25">
      <c r="A28" s="2"/>
      <c r="B28" s="7"/>
      <c r="C28" s="7"/>
      <c r="D28" s="7"/>
    </row>
    <row r="29" spans="1:4" ht="15.75" customHeight="1" x14ac:dyDescent="0.25">
      <c r="A29" s="2"/>
      <c r="B29" s="7"/>
      <c r="C29" s="7"/>
      <c r="D29" s="7"/>
    </row>
    <row r="30" spans="1:4" ht="15.75" customHeight="1" x14ac:dyDescent="0.25">
      <c r="A30" s="2"/>
      <c r="B30" s="7"/>
      <c r="C30" s="7"/>
      <c r="D30" s="7"/>
    </row>
    <row r="31" spans="1:4" ht="15.75" customHeight="1" x14ac:dyDescent="0.2">
      <c r="A31" s="7"/>
      <c r="B31" s="7"/>
      <c r="C31" s="7"/>
      <c r="D31" s="7"/>
    </row>
    <row r="32" spans="1:4" ht="15.75" customHeight="1" x14ac:dyDescent="0.2">
      <c r="A32" s="7"/>
      <c r="B32" s="7"/>
      <c r="C32" s="7"/>
      <c r="D32" s="7"/>
    </row>
    <row r="33" spans="1:7" ht="15.75" customHeight="1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 ht="15.75" customHeight="1" x14ac:dyDescent="0.2">
      <c r="A34" s="14" t="s">
        <v>14</v>
      </c>
      <c r="B34" s="14">
        <v>8</v>
      </c>
      <c r="C34" s="14">
        <v>2</v>
      </c>
      <c r="D34" s="7">
        <f t="shared" ref="D34:D36" si="2">1/((1-$F$11)+$F$11/B34)</f>
        <v>2.5806451612903221</v>
      </c>
      <c r="E34" s="7">
        <f t="shared" ref="E34:E36" si="3">D34*C34</f>
        <v>5.1612903225806441</v>
      </c>
      <c r="F34" s="9">
        <f t="shared" ref="F34:F36" si="4">ROUND(($E$34/E34)*MIN($B$11:$B$30),1)</f>
        <v>0.7</v>
      </c>
      <c r="G34" s="10" t="s">
        <v>15</v>
      </c>
    </row>
    <row r="35" spans="1:7" ht="15.75" customHeight="1" x14ac:dyDescent="0.2">
      <c r="A35" s="12" t="s">
        <v>16</v>
      </c>
      <c r="B35" s="12">
        <v>8</v>
      </c>
      <c r="C35" s="12">
        <v>3.2</v>
      </c>
      <c r="D35" s="7">
        <f t="shared" si="2"/>
        <v>2.5806451612903221</v>
      </c>
      <c r="E35" s="7">
        <f t="shared" si="3"/>
        <v>8.2580645161290303</v>
      </c>
      <c r="F35" s="9">
        <f t="shared" si="4"/>
        <v>0.4</v>
      </c>
      <c r="G35">
        <f t="shared" ref="G35:G36" si="5">ROUND(100*((F34-F35)/F34),2)</f>
        <v>42.86</v>
      </c>
    </row>
    <row r="36" spans="1:7" ht="15.75" customHeight="1" x14ac:dyDescent="0.2">
      <c r="A36" s="12" t="s">
        <v>17</v>
      </c>
      <c r="B36" s="12">
        <v>12</v>
      </c>
      <c r="C36" s="12">
        <v>2.6</v>
      </c>
      <c r="D36" s="7">
        <f t="shared" si="2"/>
        <v>2.7906976744186043</v>
      </c>
      <c r="E36" s="7">
        <f t="shared" si="3"/>
        <v>7.2558139534883717</v>
      </c>
      <c r="F36" s="9">
        <f t="shared" si="4"/>
        <v>0.5</v>
      </c>
      <c r="G36">
        <f t="shared" si="5"/>
        <v>-25</v>
      </c>
    </row>
    <row r="37" spans="1:7" ht="15.75" customHeight="1" x14ac:dyDescent="0.2">
      <c r="D37" s="7"/>
      <c r="E37" s="7"/>
    </row>
    <row r="38" spans="1:7" ht="15.75" customHeight="1" x14ac:dyDescent="0.2">
      <c r="C38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BC44-2F95-41D6-A7F7-7EC66DEA865A}">
  <sheetPr>
    <outlinePr summaryBelow="0" summaryRight="0"/>
  </sheetPr>
  <dimension ref="A1:G38"/>
  <sheetViews>
    <sheetView topLeftCell="A4" workbookViewId="0">
      <selection activeCell="F12" sqref="F12"/>
    </sheetView>
  </sheetViews>
  <sheetFormatPr defaultColWidth="14.42578125" defaultRowHeight="15.75" customHeight="1" x14ac:dyDescent="0.2"/>
  <cols>
    <col min="1" max="1" width="16.7109375" customWidth="1"/>
    <col min="2" max="2" width="18.140625" customWidth="1"/>
    <col min="3" max="3" width="17" customWidth="1"/>
    <col min="5" max="5" width="19.140625" customWidth="1"/>
  </cols>
  <sheetData>
    <row r="1" spans="1:7" ht="15.75" customHeight="1" x14ac:dyDescent="0.25">
      <c r="A1" s="1"/>
      <c r="B1" s="2"/>
      <c r="C1" s="2"/>
      <c r="D1" s="2"/>
      <c r="F1" s="2"/>
      <c r="G1" s="3"/>
    </row>
    <row r="2" spans="1:7" x14ac:dyDescent="0.25">
      <c r="A2" s="4"/>
      <c r="B2" s="2"/>
      <c r="C2" s="2"/>
      <c r="D2" s="2"/>
      <c r="F2" s="2"/>
      <c r="G2" s="3"/>
    </row>
    <row r="3" spans="1:7" ht="15.75" customHeight="1" x14ac:dyDescent="0.25">
      <c r="A3" s="5" t="s">
        <v>18</v>
      </c>
      <c r="B3" s="2"/>
      <c r="C3" s="2"/>
      <c r="D3" s="2"/>
      <c r="F3" s="2"/>
      <c r="G3" s="3"/>
    </row>
    <row r="4" spans="1:7" ht="15.75" customHeight="1" x14ac:dyDescent="0.25">
      <c r="A4" s="5" t="s">
        <v>19</v>
      </c>
      <c r="B4" s="2"/>
      <c r="C4" s="2"/>
      <c r="D4" s="2"/>
      <c r="F4" s="2"/>
      <c r="G4" s="3"/>
    </row>
    <row r="5" spans="1:7" ht="15.75" customHeight="1" x14ac:dyDescent="0.25">
      <c r="A5" s="5" t="s">
        <v>20</v>
      </c>
      <c r="B5" s="2"/>
      <c r="C5" s="2"/>
      <c r="D5" s="2"/>
      <c r="F5" s="2"/>
      <c r="G5" s="3"/>
    </row>
    <row r="6" spans="1:7" ht="15.75" customHeight="1" x14ac:dyDescent="0.25">
      <c r="A6" s="5" t="s">
        <v>22</v>
      </c>
      <c r="B6" s="2"/>
      <c r="C6" s="2"/>
      <c r="D6" s="2"/>
      <c r="F6" s="2"/>
      <c r="G6" s="3"/>
    </row>
    <row r="7" spans="1:7" ht="15.75" customHeight="1" x14ac:dyDescent="0.25">
      <c r="A7" s="5" t="s">
        <v>21</v>
      </c>
      <c r="B7" s="2"/>
      <c r="C7" s="2"/>
      <c r="D7" s="2"/>
      <c r="F7" s="2"/>
      <c r="G7" s="3"/>
    </row>
    <row r="8" spans="1:7" ht="15.75" customHeight="1" x14ac:dyDescent="0.25">
      <c r="A8" s="11"/>
      <c r="B8" s="2"/>
      <c r="C8" s="2"/>
      <c r="D8" s="2"/>
      <c r="F8" s="2"/>
      <c r="G8" s="3"/>
    </row>
    <row r="9" spans="1:7" ht="15.75" customHeight="1" x14ac:dyDescent="0.25">
      <c r="A9" s="2"/>
      <c r="B9" s="2"/>
      <c r="C9" s="2"/>
      <c r="D9" s="2"/>
      <c r="F9" s="2"/>
      <c r="G9" s="3"/>
    </row>
    <row r="10" spans="1:7" ht="15.75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F10" s="2" t="s">
        <v>4</v>
      </c>
      <c r="G10" s="3"/>
    </row>
    <row r="11" spans="1:7" ht="15.75" customHeight="1" x14ac:dyDescent="0.25">
      <c r="A11" s="2">
        <v>1</v>
      </c>
      <c r="B11" s="6">
        <v>20860.599999999999</v>
      </c>
      <c r="C11" s="7">
        <f t="shared" ref="C11:C18" si="0">B$11/B11</f>
        <v>1</v>
      </c>
      <c r="D11" s="7">
        <f t="shared" ref="D11:D18" si="1">1/((1-F$11)+F$11/$A11)</f>
        <v>1</v>
      </c>
      <c r="F11" s="8">
        <v>0.82</v>
      </c>
      <c r="G11" s="3"/>
    </row>
    <row r="12" spans="1:7" ht="15.75" customHeight="1" x14ac:dyDescent="0.25">
      <c r="A12" s="2">
        <v>2</v>
      </c>
      <c r="B12" s="6">
        <v>14232.6</v>
      </c>
      <c r="C12" s="7">
        <f t="shared" si="0"/>
        <v>1.465691440776808</v>
      </c>
      <c r="D12" s="7">
        <f t="shared" si="1"/>
        <v>1.6949152542372878</v>
      </c>
      <c r="F12" s="3" t="s">
        <v>5</v>
      </c>
      <c r="G12" s="7"/>
    </row>
    <row r="13" spans="1:7" ht="15.75" customHeight="1" x14ac:dyDescent="0.25">
      <c r="A13" s="2">
        <v>3</v>
      </c>
      <c r="B13" s="6">
        <v>9674.1</v>
      </c>
      <c r="C13" s="7">
        <f t="shared" si="0"/>
        <v>2.1563349562233176</v>
      </c>
      <c r="D13" s="7">
        <f t="shared" si="1"/>
        <v>2.2058823529411762</v>
      </c>
      <c r="F13" s="3" t="s">
        <v>6</v>
      </c>
      <c r="G13" s="7"/>
    </row>
    <row r="14" spans="1:7" ht="15.75" customHeight="1" x14ac:dyDescent="0.25">
      <c r="A14" s="2">
        <v>4</v>
      </c>
      <c r="B14" s="6">
        <v>7744.8</v>
      </c>
      <c r="C14" s="7">
        <f t="shared" si="0"/>
        <v>2.6934975725648176</v>
      </c>
      <c r="D14" s="7">
        <f t="shared" si="1"/>
        <v>2.5974025974025974</v>
      </c>
    </row>
    <row r="15" spans="1:7" ht="15.75" customHeight="1" x14ac:dyDescent="0.25">
      <c r="A15" s="2">
        <v>5</v>
      </c>
      <c r="B15" s="6">
        <v>7204.4</v>
      </c>
      <c r="C15" s="7">
        <f t="shared" si="0"/>
        <v>2.8955360612958745</v>
      </c>
      <c r="D15" s="7">
        <f t="shared" si="1"/>
        <v>2.9069767441860463</v>
      </c>
    </row>
    <row r="16" spans="1:7" ht="15.75" customHeight="1" x14ac:dyDescent="0.25">
      <c r="A16" s="2">
        <v>6</v>
      </c>
      <c r="B16" s="6">
        <v>7115.5</v>
      </c>
      <c r="C16" s="7">
        <f t="shared" si="0"/>
        <v>2.9317124587168855</v>
      </c>
      <c r="D16" s="7">
        <f t="shared" si="1"/>
        <v>3.1578947368421049</v>
      </c>
    </row>
    <row r="17" spans="1:4" ht="15.75" customHeight="1" x14ac:dyDescent="0.25">
      <c r="A17" s="2">
        <v>7</v>
      </c>
      <c r="B17" s="6">
        <v>6970.9</v>
      </c>
      <c r="C17" s="7">
        <f t="shared" si="0"/>
        <v>2.992526072673543</v>
      </c>
      <c r="D17" s="7">
        <f t="shared" si="1"/>
        <v>3.3653846153846154</v>
      </c>
    </row>
    <row r="18" spans="1:4" ht="15.75" customHeight="1" x14ac:dyDescent="0.25">
      <c r="A18" s="2">
        <v>8</v>
      </c>
      <c r="B18" s="6">
        <v>6802.7</v>
      </c>
      <c r="C18" s="7">
        <f t="shared" si="0"/>
        <v>3.0665177062048889</v>
      </c>
      <c r="D18" s="7">
        <f t="shared" si="1"/>
        <v>3.5398230088495573</v>
      </c>
    </row>
    <row r="21" spans="1:4" ht="15.75" customHeight="1" x14ac:dyDescent="0.25">
      <c r="A21" s="2"/>
      <c r="B21" s="7"/>
      <c r="C21" s="7"/>
      <c r="D21" s="7"/>
    </row>
    <row r="22" spans="1:4" ht="15.75" customHeight="1" x14ac:dyDescent="0.25">
      <c r="A22" s="2"/>
      <c r="B22" s="7"/>
      <c r="C22" s="7"/>
      <c r="D22" s="7"/>
    </row>
    <row r="23" spans="1:4" ht="15.75" customHeight="1" x14ac:dyDescent="0.25">
      <c r="A23" s="2"/>
      <c r="B23" s="7"/>
      <c r="C23" s="7"/>
      <c r="D23" s="7"/>
    </row>
    <row r="24" spans="1:4" ht="15.75" customHeight="1" x14ac:dyDescent="0.25">
      <c r="A24" s="2"/>
      <c r="B24" s="7"/>
      <c r="C24" s="7"/>
      <c r="D24" s="7"/>
    </row>
    <row r="25" spans="1:4" ht="15.75" customHeight="1" x14ac:dyDescent="0.25">
      <c r="A25" s="2"/>
      <c r="B25" s="7"/>
      <c r="C25" s="7"/>
      <c r="D25" s="7"/>
    </row>
    <row r="26" spans="1:4" ht="15.75" customHeight="1" x14ac:dyDescent="0.25">
      <c r="A26" s="2"/>
      <c r="B26" s="7"/>
      <c r="C26" s="7"/>
      <c r="D26" s="7"/>
    </row>
    <row r="27" spans="1:4" ht="15.75" customHeight="1" x14ac:dyDescent="0.25">
      <c r="A27" s="2"/>
      <c r="B27" s="7"/>
      <c r="C27" s="7"/>
      <c r="D27" s="7"/>
    </row>
    <row r="28" spans="1:4" ht="15.75" customHeight="1" x14ac:dyDescent="0.25">
      <c r="A28" s="2"/>
      <c r="B28" s="7"/>
      <c r="C28" s="7"/>
      <c r="D28" s="7"/>
    </row>
    <row r="29" spans="1:4" ht="15.75" customHeight="1" x14ac:dyDescent="0.25">
      <c r="A29" s="2"/>
      <c r="B29" s="7"/>
      <c r="C29" s="7"/>
      <c r="D29" s="7"/>
    </row>
    <row r="30" spans="1:4" ht="15.75" customHeight="1" x14ac:dyDescent="0.25">
      <c r="A30" s="2"/>
      <c r="B30" s="7"/>
      <c r="C30" s="7"/>
      <c r="D30" s="7"/>
    </row>
    <row r="31" spans="1:4" ht="15.75" customHeight="1" x14ac:dyDescent="0.2">
      <c r="A31" s="7"/>
      <c r="B31" s="7"/>
      <c r="C31" s="7"/>
      <c r="D31" s="7"/>
    </row>
    <row r="32" spans="1:4" ht="15.75" customHeight="1" x14ac:dyDescent="0.2">
      <c r="A32" s="7"/>
      <c r="B32" s="7"/>
      <c r="C32" s="7"/>
      <c r="D32" s="7"/>
    </row>
    <row r="33" spans="1:7" ht="15.75" customHeight="1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 ht="15.75" customHeight="1" x14ac:dyDescent="0.2">
      <c r="A34" s="14" t="s">
        <v>14</v>
      </c>
      <c r="B34" s="14">
        <v>8</v>
      </c>
      <c r="C34" s="14">
        <v>2</v>
      </c>
      <c r="D34" s="7">
        <f t="shared" ref="D34:D36" si="2">1/((1-$F$11)+$F$11/B34)</f>
        <v>3.5398230088495573</v>
      </c>
      <c r="E34" s="7">
        <f t="shared" ref="E34:E36" si="3">D34*C34</f>
        <v>7.0796460176991145</v>
      </c>
      <c r="F34" s="9">
        <f t="shared" ref="F34:F36" si="4">ROUND(($E$34/E34)*MIN($B$11:$B$30),1)</f>
        <v>6802.7</v>
      </c>
      <c r="G34" s="10" t="s">
        <v>15</v>
      </c>
    </row>
    <row r="35" spans="1:7" ht="15.75" customHeight="1" x14ac:dyDescent="0.2">
      <c r="A35" s="12" t="s">
        <v>16</v>
      </c>
      <c r="B35" s="12">
        <v>8</v>
      </c>
      <c r="C35" s="12">
        <v>3.2</v>
      </c>
      <c r="D35" s="7">
        <f t="shared" si="2"/>
        <v>3.5398230088495573</v>
      </c>
      <c r="E35" s="7">
        <f t="shared" si="3"/>
        <v>11.327433628318584</v>
      </c>
      <c r="F35" s="9">
        <f t="shared" si="4"/>
        <v>4251.7</v>
      </c>
      <c r="G35">
        <f t="shared" ref="G35:G36" si="5">ROUND(100*((F34-F35)/F34),2)</f>
        <v>37.5</v>
      </c>
    </row>
    <row r="36" spans="1:7" ht="15.75" customHeight="1" x14ac:dyDescent="0.2">
      <c r="A36" s="12" t="s">
        <v>17</v>
      </c>
      <c r="B36" s="12">
        <v>12</v>
      </c>
      <c r="C36" s="12">
        <v>2.6</v>
      </c>
      <c r="D36" s="7">
        <f t="shared" si="2"/>
        <v>4.0268456375838921</v>
      </c>
      <c r="E36" s="7">
        <f t="shared" si="3"/>
        <v>10.469798657718121</v>
      </c>
      <c r="F36" s="9">
        <f t="shared" si="4"/>
        <v>4600</v>
      </c>
      <c r="G36">
        <f t="shared" si="5"/>
        <v>-8.19</v>
      </c>
    </row>
    <row r="37" spans="1:7" ht="15.75" customHeight="1" x14ac:dyDescent="0.2">
      <c r="D37" s="7"/>
      <c r="E37" s="7"/>
    </row>
    <row r="38" spans="1:7" ht="15.75" customHeight="1" x14ac:dyDescent="0.2">
      <c r="C38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8"/>
  <sheetViews>
    <sheetView tabSelected="1" topLeftCell="A7" workbookViewId="0">
      <selection activeCell="B37" sqref="B37"/>
    </sheetView>
  </sheetViews>
  <sheetFormatPr defaultColWidth="14.42578125" defaultRowHeight="15.75" customHeight="1" x14ac:dyDescent="0.2"/>
  <cols>
    <col min="1" max="1" width="16.7109375" customWidth="1"/>
    <col min="2" max="2" width="18.140625" customWidth="1"/>
    <col min="3" max="3" width="17" customWidth="1"/>
    <col min="5" max="5" width="19.140625" customWidth="1"/>
  </cols>
  <sheetData>
    <row r="1" spans="1:7" ht="15.75" customHeight="1" x14ac:dyDescent="0.25">
      <c r="A1" s="1"/>
      <c r="B1" s="2"/>
      <c r="C1" s="2"/>
      <c r="D1" s="2"/>
      <c r="F1" s="2"/>
      <c r="G1" s="3"/>
    </row>
    <row r="2" spans="1:7" x14ac:dyDescent="0.25">
      <c r="A2" s="4"/>
      <c r="B2" s="2"/>
      <c r="C2" s="2"/>
      <c r="D2" s="2"/>
      <c r="F2" s="2"/>
      <c r="G2" s="3"/>
    </row>
    <row r="3" spans="1:7" ht="15.75" customHeight="1" x14ac:dyDescent="0.25">
      <c r="A3" s="5" t="s">
        <v>18</v>
      </c>
      <c r="B3" s="2"/>
      <c r="C3" s="2"/>
      <c r="D3" s="2"/>
      <c r="F3" s="2"/>
      <c r="G3" s="3"/>
    </row>
    <row r="4" spans="1:7" ht="15.75" customHeight="1" x14ac:dyDescent="0.25">
      <c r="A4" s="5" t="s">
        <v>19</v>
      </c>
      <c r="B4" s="2"/>
      <c r="C4" s="2"/>
      <c r="D4" s="2"/>
      <c r="F4" s="2"/>
      <c r="G4" s="3"/>
    </row>
    <row r="5" spans="1:7" ht="15.75" customHeight="1" x14ac:dyDescent="0.25">
      <c r="A5" s="5" t="s">
        <v>20</v>
      </c>
      <c r="B5" s="2"/>
      <c r="C5" s="2"/>
      <c r="D5" s="2"/>
      <c r="F5" s="2"/>
      <c r="G5" s="3"/>
    </row>
    <row r="6" spans="1:7" ht="15.75" customHeight="1" x14ac:dyDescent="0.25">
      <c r="A6" s="5" t="s">
        <v>22</v>
      </c>
      <c r="B6" s="2"/>
      <c r="C6" s="2"/>
      <c r="D6" s="2"/>
      <c r="F6" s="2"/>
      <c r="G6" s="3"/>
    </row>
    <row r="7" spans="1:7" ht="15.75" customHeight="1" x14ac:dyDescent="0.25">
      <c r="A7" s="5" t="s">
        <v>21</v>
      </c>
      <c r="B7" s="2"/>
      <c r="C7" s="2"/>
      <c r="D7" s="2"/>
      <c r="F7" s="2"/>
      <c r="G7" s="3"/>
    </row>
    <row r="8" spans="1:7" ht="15.75" customHeight="1" x14ac:dyDescent="0.25">
      <c r="A8" s="11"/>
      <c r="B8" s="2"/>
      <c r="C8" s="2"/>
      <c r="D8" s="2"/>
      <c r="F8" s="2"/>
      <c r="G8" s="3"/>
    </row>
    <row r="9" spans="1:7" ht="15.75" customHeight="1" x14ac:dyDescent="0.25">
      <c r="A9" s="2"/>
      <c r="B9" s="2"/>
      <c r="C9" s="2"/>
      <c r="D9" s="2"/>
      <c r="F9" s="2"/>
      <c r="G9" s="3"/>
    </row>
    <row r="10" spans="1:7" ht="15.75" customHeight="1" x14ac:dyDescent="0.25">
      <c r="A10" s="2" t="s">
        <v>0</v>
      </c>
      <c r="B10" s="2" t="s">
        <v>1</v>
      </c>
      <c r="C10" s="2" t="s">
        <v>2</v>
      </c>
      <c r="D10" s="2" t="s">
        <v>3</v>
      </c>
      <c r="F10" s="2" t="s">
        <v>4</v>
      </c>
      <c r="G10" s="3"/>
    </row>
    <row r="11" spans="1:7" ht="15.75" customHeight="1" x14ac:dyDescent="0.25">
      <c r="A11" s="2">
        <v>1</v>
      </c>
      <c r="B11" s="6">
        <v>78161.600000000006</v>
      </c>
      <c r="C11" s="7">
        <f t="shared" ref="C11:C18" si="0">B$11/B11</f>
        <v>1</v>
      </c>
      <c r="D11" s="7">
        <f t="shared" ref="D11:D18" si="1">1/((1-F$11)+F$11/$A11)</f>
        <v>1</v>
      </c>
      <c r="F11" s="8">
        <v>0.85</v>
      </c>
      <c r="G11" s="3"/>
    </row>
    <row r="12" spans="1:7" ht="15.75" customHeight="1" x14ac:dyDescent="0.25">
      <c r="A12" s="2">
        <v>2</v>
      </c>
      <c r="B12" s="6">
        <v>47868.6</v>
      </c>
      <c r="C12" s="7">
        <f t="shared" si="0"/>
        <v>1.6328365567407446</v>
      </c>
      <c r="D12" s="7">
        <f t="shared" si="1"/>
        <v>1.7391304347826089</v>
      </c>
      <c r="F12" s="16" t="s">
        <v>5</v>
      </c>
      <c r="G12" s="7"/>
    </row>
    <row r="13" spans="1:7" ht="15.75" customHeight="1" x14ac:dyDescent="0.25">
      <c r="A13" s="2">
        <v>3</v>
      </c>
      <c r="B13" s="6">
        <v>34204.800000000003</v>
      </c>
      <c r="C13" s="7">
        <f t="shared" si="0"/>
        <v>2.2851061839274021</v>
      </c>
      <c r="D13" s="7">
        <f t="shared" si="1"/>
        <v>2.3076923076923075</v>
      </c>
      <c r="F13" s="3" t="s">
        <v>6</v>
      </c>
      <c r="G13" s="7"/>
    </row>
    <row r="14" spans="1:7" ht="15.75" customHeight="1" x14ac:dyDescent="0.25">
      <c r="A14" s="2">
        <v>4</v>
      </c>
      <c r="B14" s="6">
        <v>27097.1</v>
      </c>
      <c r="C14" s="7">
        <f t="shared" si="0"/>
        <v>2.8845005554099887</v>
      </c>
      <c r="D14" s="7">
        <f t="shared" si="1"/>
        <v>2.7586206896551722</v>
      </c>
    </row>
    <row r="15" spans="1:7" ht="15.75" customHeight="1" x14ac:dyDescent="0.25">
      <c r="A15" s="2">
        <v>5</v>
      </c>
      <c r="B15" s="6">
        <v>26504.9</v>
      </c>
      <c r="C15" s="7">
        <f t="shared" si="0"/>
        <v>2.9489490622488672</v>
      </c>
      <c r="D15" s="7">
        <f t="shared" si="1"/>
        <v>3.125</v>
      </c>
    </row>
    <row r="16" spans="1:7" ht="15.75" customHeight="1" x14ac:dyDescent="0.25">
      <c r="A16" s="2">
        <v>6</v>
      </c>
      <c r="B16" s="6">
        <v>24652.400000000001</v>
      </c>
      <c r="C16" s="7">
        <f t="shared" si="0"/>
        <v>3.1705472895133942</v>
      </c>
      <c r="D16" s="7">
        <f t="shared" si="1"/>
        <v>3.4285714285714284</v>
      </c>
    </row>
    <row r="17" spans="1:4" ht="15.75" customHeight="1" x14ac:dyDescent="0.25">
      <c r="A17" s="2">
        <v>7</v>
      </c>
      <c r="B17" s="6">
        <v>23885.9</v>
      </c>
      <c r="C17" s="7">
        <f t="shared" si="0"/>
        <v>3.2722903470248137</v>
      </c>
      <c r="D17" s="7">
        <f t="shared" si="1"/>
        <v>3.6842105263157889</v>
      </c>
    </row>
    <row r="18" spans="1:4" ht="15.75" customHeight="1" x14ac:dyDescent="0.25">
      <c r="A18" s="2">
        <v>8</v>
      </c>
      <c r="B18" s="6">
        <v>24374.6</v>
      </c>
      <c r="C18" s="7">
        <f t="shared" si="0"/>
        <v>3.2066823660695976</v>
      </c>
      <c r="D18" s="7">
        <f t="shared" si="1"/>
        <v>3.9024390243902434</v>
      </c>
    </row>
    <row r="22" spans="1:4" ht="15.75" customHeight="1" x14ac:dyDescent="0.25">
      <c r="A22" s="2"/>
      <c r="B22" s="7"/>
      <c r="C22" s="7"/>
      <c r="D22" s="7"/>
    </row>
    <row r="23" spans="1:4" ht="15.75" customHeight="1" x14ac:dyDescent="0.25">
      <c r="A23" s="2"/>
      <c r="B23" s="7"/>
      <c r="C23" s="7"/>
      <c r="D23" s="7"/>
    </row>
    <row r="24" spans="1:4" ht="15.75" customHeight="1" x14ac:dyDescent="0.25">
      <c r="A24" s="2"/>
      <c r="B24" s="7"/>
      <c r="C24" s="7"/>
      <c r="D24" s="7"/>
    </row>
    <row r="25" spans="1:4" ht="15.75" customHeight="1" x14ac:dyDescent="0.25">
      <c r="A25" s="2"/>
      <c r="B25" s="7"/>
      <c r="C25" s="7"/>
      <c r="D25" s="7"/>
    </row>
    <row r="26" spans="1:4" ht="15.75" customHeight="1" x14ac:dyDescent="0.25">
      <c r="A26" s="2"/>
      <c r="B26" s="7"/>
      <c r="C26" s="7"/>
      <c r="D26" s="7"/>
    </row>
    <row r="27" spans="1:4" ht="15.75" customHeight="1" x14ac:dyDescent="0.25">
      <c r="A27" s="2"/>
      <c r="B27" s="7"/>
      <c r="C27" s="7"/>
      <c r="D27" s="7"/>
    </row>
    <row r="28" spans="1:4" ht="15.75" customHeight="1" x14ac:dyDescent="0.25">
      <c r="A28" s="2"/>
      <c r="B28" s="7"/>
      <c r="C28" s="7"/>
      <c r="D28" s="7"/>
    </row>
    <row r="29" spans="1:4" ht="15.75" customHeight="1" x14ac:dyDescent="0.25">
      <c r="A29" s="2"/>
      <c r="B29" s="7"/>
      <c r="C29" s="7"/>
      <c r="D29" s="7"/>
    </row>
    <row r="30" spans="1:4" ht="15.75" customHeight="1" x14ac:dyDescent="0.25">
      <c r="A30" s="2"/>
      <c r="B30" s="7"/>
      <c r="C30" s="7"/>
      <c r="D30" s="7"/>
    </row>
    <row r="31" spans="1:4" ht="15.75" customHeight="1" x14ac:dyDescent="0.2">
      <c r="A31" s="7"/>
      <c r="B31" s="7"/>
      <c r="C31" s="7"/>
      <c r="D31" s="7"/>
    </row>
    <row r="32" spans="1:4" ht="15.75" customHeight="1" x14ac:dyDescent="0.2">
      <c r="A32" s="7"/>
      <c r="B32" s="7"/>
      <c r="C32" s="7"/>
      <c r="D32" s="7"/>
    </row>
    <row r="33" spans="1:7" ht="15.75" customHeight="1" x14ac:dyDescent="0.25">
      <c r="A33" s="2" t="s">
        <v>7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 ht="15.75" customHeight="1" x14ac:dyDescent="0.2">
      <c r="A34" s="14" t="s">
        <v>14</v>
      </c>
      <c r="B34" s="14">
        <v>8</v>
      </c>
      <c r="C34" s="14">
        <v>2</v>
      </c>
      <c r="D34" s="7">
        <f t="shared" ref="D34:D36" si="2">1/((1-$F$11)+$F$11/B34)</f>
        <v>3.9024390243902434</v>
      </c>
      <c r="E34" s="7">
        <f t="shared" ref="E34:E36" si="3">D34*C34</f>
        <v>7.8048780487804867</v>
      </c>
      <c r="F34" s="9">
        <f t="shared" ref="F34:F36" si="4">ROUND(($E$34/E34)*MIN($B$11:$B$30),1)</f>
        <v>23885.9</v>
      </c>
      <c r="G34" s="10" t="s">
        <v>15</v>
      </c>
    </row>
    <row r="35" spans="1:7" ht="15.75" customHeight="1" x14ac:dyDescent="0.2">
      <c r="A35" s="12" t="s">
        <v>16</v>
      </c>
      <c r="B35" s="12">
        <v>6</v>
      </c>
      <c r="C35" s="12">
        <v>3.2</v>
      </c>
      <c r="D35" s="7">
        <f t="shared" si="2"/>
        <v>3.4285714285714284</v>
      </c>
      <c r="E35" s="7">
        <f t="shared" si="3"/>
        <v>10.971428571428572</v>
      </c>
      <c r="F35" s="9">
        <f t="shared" si="4"/>
        <v>16992</v>
      </c>
      <c r="G35">
        <f t="shared" ref="G35:G36" si="5">ROUND(100*((F34-F35)/F34),2)</f>
        <v>28.86</v>
      </c>
    </row>
    <row r="36" spans="1:7" ht="15.75" customHeight="1" x14ac:dyDescent="0.2">
      <c r="A36" s="12" t="s">
        <v>17</v>
      </c>
      <c r="B36" s="12">
        <v>10</v>
      </c>
      <c r="C36" s="12">
        <v>2.6</v>
      </c>
      <c r="D36" s="7">
        <f t="shared" si="2"/>
        <v>4.2553191489361701</v>
      </c>
      <c r="E36" s="7">
        <f t="shared" si="3"/>
        <v>11.063829787234043</v>
      </c>
      <c r="F36" s="9">
        <f t="shared" si="4"/>
        <v>16850.099999999999</v>
      </c>
      <c r="G36">
        <f t="shared" si="5"/>
        <v>0.84</v>
      </c>
    </row>
    <row r="37" spans="1:7" ht="15.75" customHeight="1" x14ac:dyDescent="0.2">
      <c r="B37" s="17"/>
      <c r="D37" s="7"/>
      <c r="E37" s="7"/>
    </row>
    <row r="38" spans="1:7" ht="15.75" customHeight="1" x14ac:dyDescent="0.2">
      <c r="C38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5x5</vt:lpstr>
      <vt:lpstr>10x10</vt:lpstr>
      <vt:lpstr>50x50</vt:lpstr>
      <vt:lpstr>100x100</vt:lpstr>
      <vt:lpstr>1000x1000</vt:lpstr>
      <vt:lpstr>1500x1500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Fioravante Ferreira</cp:lastModifiedBy>
  <dcterms:modified xsi:type="dcterms:W3CDTF">2025-09-27T17:36:05Z</dcterms:modified>
</cp:coreProperties>
</file>